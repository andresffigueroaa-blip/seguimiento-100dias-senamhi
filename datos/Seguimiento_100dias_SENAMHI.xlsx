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Seguimiento" sheetId="2" state="visible" r:id="rId2"/>
    <sheet xmlns:r="http://schemas.openxmlformats.org/officeDocument/2006/relationships" name="Calculos" sheetId="3" state="visible" r:id="rId3"/>
    <sheet xmlns:r="http://schemas.openxmlformats.org/officeDocument/2006/relationships" name="Historial" sheetId="4" state="visible" r:id="rId4"/>
    <sheet xmlns:r="http://schemas.openxmlformats.org/officeDocument/2006/relationships" name="Resumen" sheetId="5" state="visible" r:id="rId5"/>
    <sheet xmlns:r="http://schemas.openxmlformats.org/officeDocument/2006/relationships" name="Hitos_RutaElNino" sheetId="6" state="visible" r:id="rId6"/>
    <sheet xmlns:r="http://schemas.openxmlformats.org/officeDocument/2006/relationships" name="Config" sheetId="7" state="visible" r:id="rId7"/>
  </sheets>
  <definedNames>
    <definedName name="_xlnm._FilterDatabase" localSheetId="1" hidden="1">'Seguimiento'!$A$2:$AM$25</definedName>
    <definedName name="_xlnm._FilterDatabase" localSheetId="3" hidden="1">'Historial'!$A$1:$F$277</definedName>
  </definedNames>
  <calcPr calcId="124519" fullCalcOnLoad="1"/>
</workbook>
</file>

<file path=xl/styles.xml><?xml version="1.0" encoding="utf-8"?>
<styleSheet xmlns="http://schemas.openxmlformats.org/spreadsheetml/2006/main">
  <numFmts count="2">
    <numFmt numFmtId="164" formatCode="yyyy-mm-dd"/>
    <numFmt numFmtId="165" formatCode="dd/mm/yyyy"/>
  </numFmts>
  <fonts count="11">
    <font>
      <name val="Calibri"/>
      <family val="2"/>
      <color theme="1"/>
      <sz val="11"/>
      <scheme val="minor"/>
    </font>
    <font>
      <name val="Arial"/>
      <b val="1"/>
      <color rgb="00344E80"/>
      <sz val="13"/>
    </font>
    <font>
      <name val="Arial"/>
      <sz val="10"/>
    </font>
    <font>
      <name val="Arial"/>
      <b val="1"/>
      <sz val="11"/>
    </font>
    <font>
      <name val="Arial"/>
      <i val="1"/>
      <color rgb="00888888"/>
      <sz val="8"/>
    </font>
    <font>
      <name val="Arial"/>
      <color rgb="00888888"/>
      <sz val="8"/>
    </font>
    <font>
      <name val="Arial"/>
      <b val="1"/>
      <color rgb="00FFFFFF"/>
      <sz val="10"/>
    </font>
    <font>
      <name val="Arial"/>
      <color rgb="00595959"/>
      <sz val="11"/>
    </font>
    <font>
      <name val="Arial"/>
      <b val="1"/>
    </font>
    <font>
      <name val="Arial"/>
      <b val="1"/>
      <color rgb="00FFFFFF"/>
    </font>
    <font>
      <name val="Arial"/>
      <i val="1"/>
      <color rgb="00595959"/>
      <sz val="9"/>
    </font>
  </fonts>
  <fills count="14">
    <fill>
      <patternFill/>
    </fill>
    <fill>
      <patternFill patternType="gray125"/>
    </fill>
    <fill>
      <patternFill patternType="solid">
        <fgColor rgb="00344E80"/>
      </patternFill>
    </fill>
    <fill>
      <patternFill patternType="solid">
        <fgColor rgb="001F3560"/>
      </patternFill>
    </fill>
    <fill>
      <patternFill patternType="solid">
        <fgColor rgb="00EDEDED"/>
      </patternFill>
    </fill>
    <fill>
      <patternFill patternType="solid">
        <fgColor rgb="00FFF2CC"/>
      </patternFill>
    </fill>
    <fill>
      <patternFill patternType="solid">
        <fgColor rgb="00B0BEC5"/>
      </patternFill>
    </fill>
    <fill>
      <patternFill patternType="solid">
        <fgColor rgb="001E88E5"/>
      </patternFill>
    </fill>
    <fill>
      <patternFill patternType="solid">
        <fgColor rgb="00F9A825"/>
      </patternFill>
    </fill>
    <fill>
      <patternFill patternType="solid">
        <fgColor rgb="002E7D32"/>
      </patternFill>
    </fill>
    <fill>
      <patternFill patternType="solid">
        <fgColor rgb="007A5195"/>
      </patternFill>
    </fill>
    <fill>
      <patternFill patternType="solid">
        <fgColor rgb="0043A047"/>
      </patternFill>
    </fill>
    <fill>
      <patternFill patternType="solid">
        <fgColor rgb="0090A4AE"/>
      </patternFill>
    </fill>
    <fill>
      <patternFill patternType="solid">
        <fgColor rgb="00C62828"/>
      </patternFill>
    </fill>
  </fills>
  <borders count="2">
    <border>
      <left/>
      <right/>
      <top/>
      <bottom/>
      <diagonal/>
    </border>
    <border>
      <left style="thin">
        <color rgb="00C9D1DA"/>
      </left>
      <right style="thin">
        <color rgb="00C9D1DA"/>
      </right>
      <top style="thin">
        <color rgb="00C9D1DA"/>
      </top>
      <bottom style="thin">
        <color rgb="00C9D1DA"/>
      </bottom>
    </border>
  </borders>
  <cellStyleXfs count="1">
    <xf numFmtId="0" fontId="0" fillId="0" borderId="0"/>
  </cellStyleXfs>
  <cellXfs count="36">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165" fontId="0" fillId="0" borderId="0" pivotButton="0" quotePrefix="0" xfId="0"/>
    <xf numFmtId="165" fontId="5" fillId="0" borderId="0" pivotButton="0" quotePrefix="0" xfId="0"/>
    <xf numFmtId="0" fontId="6" fillId="2" borderId="1" applyAlignment="1" pivotButton="0" quotePrefix="0" xfId="0">
      <alignment vertical="center" wrapText="1"/>
    </xf>
    <xf numFmtId="0" fontId="6" fillId="3" borderId="1" applyAlignment="1" pivotButton="0" quotePrefix="0" xfId="0">
      <alignment vertical="center" wrapText="1"/>
    </xf>
    <xf numFmtId="0" fontId="2" fillId="4" borderId="1" applyAlignment="1" pivotButton="0" quotePrefix="0" xfId="0">
      <alignment vertical="top"/>
    </xf>
    <xf numFmtId="0" fontId="2" fillId="4" borderId="1" applyAlignment="1" pivotButton="0" quotePrefix="0" xfId="0">
      <alignment vertical="top" wrapText="1"/>
    </xf>
    <xf numFmtId="165" fontId="2" fillId="4" borderId="1" applyAlignment="1" pivotButton="0" quotePrefix="0" xfId="0">
      <alignment vertical="top"/>
    </xf>
    <xf numFmtId="0" fontId="2" fillId="0" borderId="1" applyAlignment="1" pivotButton="0" quotePrefix="0" xfId="0">
      <alignment vertical="top"/>
    </xf>
    <xf numFmtId="0" fontId="2" fillId="0" borderId="1" applyAlignment="1" pivotButton="0" quotePrefix="0" xfId="0">
      <alignment vertical="top" wrapText="1"/>
    </xf>
    <xf numFmtId="0" fontId="2" fillId="5" borderId="1" applyAlignment="1" pivotButton="0" quotePrefix="0" xfId="0">
      <alignment horizontal="center" vertical="top"/>
    </xf>
    <xf numFmtId="0" fontId="2" fillId="0" borderId="1" pivotButton="0" quotePrefix="0" xfId="0"/>
    <xf numFmtId="165" fontId="2" fillId="0" borderId="1" pivotButton="0" quotePrefix="0" xfId="0"/>
    <xf numFmtId="0" fontId="1" fillId="0" borderId="0" pivotButton="0" quotePrefix="0" xfId="0"/>
    <xf numFmtId="0" fontId="7" fillId="0" borderId="0" pivotButton="0" quotePrefix="0" xfId="0"/>
    <xf numFmtId="0" fontId="2" fillId="0" borderId="0" pivotButton="0" quotePrefix="0" xfId="0"/>
    <xf numFmtId="0" fontId="3" fillId="0" borderId="0" applyAlignment="1" pivotButton="0" quotePrefix="0" xfId="0">
      <alignment horizontal="right"/>
    </xf>
    <xf numFmtId="165" fontId="3" fillId="0" borderId="0" applyAlignment="1" pivotButton="0" quotePrefix="0" xfId="0">
      <alignment horizontal="right"/>
    </xf>
    <xf numFmtId="0" fontId="2" fillId="5" borderId="1" pivotButton="0" quotePrefix="0" xfId="0"/>
    <xf numFmtId="165" fontId="0" fillId="0" borderId="1" pivotButton="0" quotePrefix="0" xfId="0"/>
    <xf numFmtId="0" fontId="0" fillId="0" borderId="1" pivotButton="0" quotePrefix="0" xfId="0"/>
    <xf numFmtId="165" fontId="8" fillId="0" borderId="0" pivotButton="0" quotePrefix="0" xfId="0"/>
    <xf numFmtId="0" fontId="9" fillId="6" borderId="0" pivotButton="0" quotePrefix="0" xfId="0"/>
    <xf numFmtId="0" fontId="9" fillId="9" borderId="0" pivotButton="0" quotePrefix="0" xfId="0"/>
    <xf numFmtId="0" fontId="9" fillId="7" borderId="0" pivotButton="0" quotePrefix="0" xfId="0"/>
    <xf numFmtId="0" fontId="9" fillId="11" borderId="0" pivotButton="0" quotePrefix="0" xfId="0"/>
    <xf numFmtId="0" fontId="9" fillId="8" borderId="0" pivotButton="0" quotePrefix="0" xfId="0"/>
    <xf numFmtId="0" fontId="9" fillId="12" borderId="0" pivotButton="0" quotePrefix="0" xfId="0"/>
    <xf numFmtId="0" fontId="9" fillId="13" borderId="0" pivotButton="0" quotePrefix="0" xfId="0"/>
    <xf numFmtId="0" fontId="9" fillId="10" borderId="0" pivotButton="0" quotePrefix="0" xfId="0"/>
    <xf numFmtId="0" fontId="8" fillId="0" borderId="0" pivotButton="0" quotePrefix="0" xfId="0"/>
    <xf numFmtId="0" fontId="10" fillId="0" borderId="0" pivotButton="0" quotePrefix="0" xfId="0"/>
  </cellXfs>
  <cellStyles count="1">
    <cellStyle name="Normal" xfId="0" builtinId="0" hidden="0"/>
  </cellStyles>
  <dxfs count="9">
    <dxf>
      <font>
        <b val="1"/>
        <color rgb="00FFFFFF"/>
      </font>
      <fill>
        <patternFill patternType="solid">
          <fgColor rgb="00B0BEC5"/>
        </patternFill>
      </fill>
    </dxf>
    <dxf>
      <font>
        <b val="1"/>
        <color rgb="00FFFFFF"/>
      </font>
      <fill>
        <patternFill patternType="solid">
          <fgColor rgb="001E88E5"/>
        </patternFill>
      </fill>
    </dxf>
    <dxf>
      <font>
        <b val="1"/>
        <color rgb="00FFFFFF"/>
      </font>
      <fill>
        <patternFill patternType="solid">
          <fgColor rgb="00F9A825"/>
        </patternFill>
      </fill>
    </dxf>
    <dxf>
      <font>
        <b val="1"/>
        <color rgb="00FFFFFF"/>
      </font>
      <fill>
        <patternFill patternType="solid">
          <fgColor rgb="002E7D32"/>
        </patternFill>
      </fill>
    </dxf>
    <dxf>
      <font>
        <b val="1"/>
        <color rgb="00FFFFFF"/>
      </font>
      <fill>
        <patternFill patternType="solid">
          <fgColor rgb="007A5195"/>
        </patternFill>
      </fill>
    </dxf>
    <dxf>
      <fill>
        <patternFill patternType="solid">
          <fgColor rgb="00E2F0D9"/>
        </patternFill>
      </fill>
    </dxf>
    <dxf>
      <font>
        <b val="1"/>
        <color rgb="00FFFFFF"/>
      </font>
      <fill>
        <patternFill patternType="solid">
          <fgColor rgb="0043A047"/>
        </patternFill>
      </fill>
    </dxf>
    <dxf>
      <font>
        <b val="1"/>
        <color rgb="00FFFFFF"/>
      </font>
      <fill>
        <patternFill patternType="solid">
          <fgColor rgb="0090A4AE"/>
        </patternFill>
      </fill>
    </dxf>
    <dxf>
      <font>
        <b val="1"/>
        <color rgb="00FFFFFF"/>
      </font>
      <fill>
        <patternFill patternType="solid">
          <fgColor rgb="00C6282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B26"/>
  <sheetViews>
    <sheetView showGridLines="0" workbookViewId="0">
      <selection activeCell="A1" sqref="A1"/>
    </sheetView>
  </sheetViews>
  <sheetFormatPr baseColWidth="8" defaultRowHeight="15"/>
  <cols>
    <col width="3" customWidth="1" min="1" max="1"/>
    <col width="110" customWidth="1" min="2" max="2"/>
  </cols>
  <sheetData>
    <row r="1">
      <c r="B1" s="1" t="inlineStr">
        <is>
          <t>Seguimiento semanal de las Prioridades de los primeros 100 días · SENAMHI</t>
        </is>
      </c>
    </row>
    <row r="2">
      <c r="B2" s="2" t="inlineStr"/>
    </row>
    <row r="3">
      <c r="B3" s="3" t="inlineStr">
        <is>
          <t>QUÉ ES</t>
        </is>
      </c>
    </row>
    <row r="4" ht="45" customHeight="1">
      <c r="B4" s="2" t="inlineStr">
        <is>
          <t>Cada dirección actualiza, una vez por semana, el avance de las actividades que SENAMHI comprometió en la Matriz de Prioridades 100 días del Sector Ambiente (MINAM). El dashboard se actualiza solo con lo que se escribe aquí.</t>
        </is>
      </c>
    </row>
    <row r="5">
      <c r="B5" s="2" t="inlineStr"/>
    </row>
    <row r="6">
      <c r="B6" s="3" t="inlineStr">
        <is>
          <t>DÓNDE ESCRIBIR</t>
        </is>
      </c>
    </row>
    <row r="7">
      <c r="B7" s="2" t="inlineStr">
        <is>
          <t>Solo en la pestaña  Seguimiento , en la fila de su actividad:</t>
        </is>
      </c>
    </row>
    <row r="8" ht="30" customHeight="1">
      <c r="B8" s="2" t="inlineStr">
        <is>
          <t xml:space="preserve">   •  Avance % &lt;fecha&gt;  (columnas amarillas): el avance ACUMULADO a esa fecha, de 0 a 100, número entero. No es el avance de la semana: si la semana pasada iban en 20 y avanzaron 10, escriben 30.</t>
        </is>
      </c>
    </row>
    <row r="9">
      <c r="B9" s="2" t="inlineStr">
        <is>
          <t xml:space="preserve">   •  Qué se hizo &lt;fecha&gt;: una o dos líneas con lo realizado en la semana.</t>
        </is>
      </c>
    </row>
    <row r="10" ht="30" customHeight="1">
      <c r="B10" s="2" t="inlineStr">
        <is>
          <t xml:space="preserve">   •  Estado actual: elegir de la lista (Sin iniciar, En proceso, Con riesgo / retraso, Completado, Reprogramado), igual que en la matriz del MINAM.</t>
        </is>
      </c>
    </row>
    <row r="11">
      <c r="B11" s="2" t="inlineStr">
        <is>
          <t xml:space="preserve">   •  Enlace responsable, Link entregable (Drive) y Alertas / riesgos de su fila.</t>
        </is>
      </c>
    </row>
    <row r="12">
      <c r="B12" s="2" t="inlineStr"/>
    </row>
    <row r="13">
      <c r="B13" s="3" t="inlineStr">
        <is>
          <t>HASTA CUÁNDO</t>
        </is>
      </c>
    </row>
    <row r="14">
      <c r="B14" s="2" t="inlineStr">
        <is>
          <t>Cada jueves hasta las 17:00. El corte es el viernes y se revisa en la reunión de los viernes.</t>
        </is>
      </c>
    </row>
    <row r="15">
      <c r="B15" s="2" t="inlineStr"/>
    </row>
    <row r="16">
      <c r="B16" s="3" t="inlineStr">
        <is>
          <t>QUÉ NO TOCAR</t>
        </is>
      </c>
    </row>
    <row r="17" ht="45" customHeight="1">
      <c r="B17" s="2" t="inlineStr">
        <is>
          <t>Las columnas con fondo gris (ID, Dirección, Actividad, Producto, Meta, fechas, Base), la fila 1 (fechas de corte) y las pestañas Calculos, Historial, Resumen y Config: tienen fórmulas. Si algo está mal ahí, avisar a la coordinación (SVC-DMCA).</t>
        </is>
      </c>
    </row>
    <row r="18">
      <c r="B18" s="2" t="inlineStr"/>
    </row>
    <row r="19">
      <c r="B19" s="3" t="inlineStr">
        <is>
          <t>DATOS DE EJEMPLO</t>
        </is>
      </c>
    </row>
    <row r="20" ht="30" customHeight="1">
      <c r="B20" s="2" t="inlineStr">
        <is>
          <t>Las celdas de la semana 09/10 que dicen «EJEMPLO (borrar)» son ficticias, para probar el dashboard. Cada dirección debe reemplazarlas por su dato real.</t>
        </is>
      </c>
    </row>
    <row r="21">
      <c r="B21" s="2" t="inlineStr"/>
    </row>
    <row r="22">
      <c r="B22" s="3" t="inlineStr">
        <is>
          <t>DE DÓNDE SALEN LOS DATOS</t>
        </is>
      </c>
    </row>
    <row r="23" ht="60" customHeight="1">
      <c r="B23" s="2" t="inlineStr">
        <is>
          <t>Actividad, producto, unidad, meta, línea base, prioridad, fechas, estado y % de avance inicial: Matriz de Prioridades 100 días - Sector Ambiente (MINAM). Nombre corto: presentación «Prioridades 100 Días» del 16/09/2026. La columna «Relacionada con El Niño» es una propuesta (actividades cuyo texto menciona El Niño / FEN) que la jefatura puede corregir con Sí/No.</t>
        </is>
      </c>
    </row>
    <row r="24">
      <c r="B24" s="2" t="inlineStr"/>
    </row>
    <row r="25">
      <c r="B25" s="3" t="inlineStr">
        <is>
          <t>PESTAÑAS</t>
        </is>
      </c>
    </row>
    <row r="26" ht="45" customHeight="1">
      <c r="B26" s="2" t="inlineStr">
        <is>
          <t>Seguimiento: la única que se edita.  ·  Hitos_RutaElNino: comisiones de la Ruta de Vigilancia El Niño (la actualiza la DMCA).  ·  Calculos, Historial, Resumen: fórmulas, las lee el dashboard.  ·  Config: fechas de referencia.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M25"/>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17" customWidth="1" min="1" max="1"/>
    <col width="9" customWidth="1" min="2" max="2"/>
    <col width="38" customWidth="1" min="3" max="3"/>
    <col width="44" customWidth="1" min="4" max="4"/>
    <col width="30" customWidth="1" min="5" max="5"/>
    <col width="16" customWidth="1" min="6" max="6"/>
    <col width="8" customWidth="1" min="7" max="7"/>
    <col width="10" customWidth="1" min="8" max="8"/>
    <col width="10" customWidth="1" min="9" max="9"/>
    <col width="12" customWidth="1" min="10" max="10"/>
    <col width="11" customWidth="1" min="11" max="11"/>
    <col width="11" customWidth="1" min="12" max="12"/>
    <col width="18" customWidth="1" min="13" max="13"/>
    <col width="20" customWidth="1" min="14" max="14"/>
    <col width="24" customWidth="1" min="15" max="15"/>
    <col width="34" customWidth="1" min="16" max="16"/>
    <col width="11" customWidth="1" min="17" max="17"/>
    <col width="10" customWidth="1" min="18" max="18"/>
    <col width="32" customWidth="1" min="19" max="19"/>
    <col width="10" customWidth="1" min="20" max="20"/>
    <col width="32" customWidth="1" min="21" max="21"/>
    <col width="10" customWidth="1" min="22" max="22"/>
    <col width="32" customWidth="1" min="23" max="23"/>
    <col width="10" customWidth="1" min="24" max="24"/>
    <col width="32" customWidth="1" min="25" max="25"/>
    <col width="10" customWidth="1" min="26" max="26"/>
    <col width="32" customWidth="1" min="27" max="27"/>
    <col width="10" customWidth="1" min="28" max="28"/>
    <col width="32" customWidth="1" min="29" max="29"/>
    <col width="10" customWidth="1" min="30" max="30"/>
    <col width="32" customWidth="1" min="31" max="31"/>
    <col width="10" customWidth="1" min="32" max="32"/>
    <col width="32" customWidth="1" min="33" max="33"/>
    <col width="10" customWidth="1" min="34" max="34"/>
    <col width="32" customWidth="1" min="35" max="35"/>
    <col width="10" customWidth="1" min="36" max="36"/>
    <col width="32" customWidth="1" min="37" max="37"/>
    <col width="10" customWidth="1" min="38" max="38"/>
    <col width="32" customWidth="1" min="39" max="39"/>
  </cols>
  <sheetData>
    <row r="1" ht="12" customHeight="1">
      <c r="A1" s="4" t="inlineStr">
        <is>
          <t>Fila de fechas de corte: no editar</t>
        </is>
      </c>
      <c r="Q1" s="5" t="n">
        <v>46297</v>
      </c>
      <c r="R1" s="6" t="n">
        <v>46304</v>
      </c>
      <c r="T1" s="6" t="n">
        <v>46311</v>
      </c>
      <c r="V1" s="6" t="n">
        <v>46318</v>
      </c>
      <c r="X1" s="6" t="n">
        <v>46325</v>
      </c>
      <c r="Z1" s="6" t="n">
        <v>46332</v>
      </c>
      <c r="AB1" s="6" t="n">
        <v>46339</v>
      </c>
      <c r="AD1" s="6" t="n">
        <v>46346</v>
      </c>
      <c r="AF1" s="6" t="n">
        <v>46353</v>
      </c>
      <c r="AH1" s="6" t="n">
        <v>46360</v>
      </c>
      <c r="AJ1" s="6" t="n">
        <v>46367</v>
      </c>
      <c r="AL1" s="6" t="n">
        <v>46374</v>
      </c>
    </row>
    <row r="2" ht="36" customHeight="1">
      <c r="A2" s="7" t="inlineStr">
        <is>
          <t>ID</t>
        </is>
      </c>
      <c r="B2" s="7" t="inlineStr">
        <is>
          <t>Dirección</t>
        </is>
      </c>
      <c r="C2" s="7" t="inlineStr">
        <is>
          <t>Nombre corto</t>
        </is>
      </c>
      <c r="D2" s="7" t="inlineStr">
        <is>
          <t>Actividad (matriz MINAM)</t>
        </is>
      </c>
      <c r="E2" s="7" t="inlineStr">
        <is>
          <t>Producto / Entregable</t>
        </is>
      </c>
      <c r="F2" s="7" t="inlineStr">
        <is>
          <t>Unidad de medida</t>
        </is>
      </c>
      <c r="G2" s="7" t="inlineStr">
        <is>
          <t>Meta</t>
        </is>
      </c>
      <c r="H2" s="7" t="inlineStr">
        <is>
          <t>Línea base</t>
        </is>
      </c>
      <c r="I2" s="7" t="inlineStr">
        <is>
          <t>Prioridad (MINAM)</t>
        </is>
      </c>
      <c r="J2" s="7" t="inlineStr">
        <is>
          <t>Relacionada con El Niño (propuesta)</t>
        </is>
      </c>
      <c r="K2" s="7" t="inlineStr">
        <is>
          <t>Fecha inicio</t>
        </is>
      </c>
      <c r="L2" s="7" t="inlineStr">
        <is>
          <t>Fecha límite</t>
        </is>
      </c>
      <c r="M2" s="7" t="inlineStr">
        <is>
          <t>Estado actual</t>
        </is>
      </c>
      <c r="N2" s="7" t="inlineStr">
        <is>
          <t>Enlace responsable</t>
        </is>
      </c>
      <c r="O2" s="7" t="inlineStr">
        <is>
          <t>Link entregable (Drive)</t>
        </is>
      </c>
      <c r="P2" s="7" t="inlineStr">
        <is>
          <t>Alertas / riesgos</t>
        </is>
      </c>
      <c r="Q2" s="7" t="inlineStr">
        <is>
          <t>Base (matriz MINAM)</t>
        </is>
      </c>
      <c r="R2" s="8" t="inlineStr">
        <is>
          <t>Avance % 09/10</t>
        </is>
      </c>
      <c r="S2" s="8" t="inlineStr">
        <is>
          <t>Qué se hizo 09/10</t>
        </is>
      </c>
      <c r="T2" s="8" t="inlineStr">
        <is>
          <t>Avance % 16/10</t>
        </is>
      </c>
      <c r="U2" s="8" t="inlineStr">
        <is>
          <t>Qué se hizo 16/10</t>
        </is>
      </c>
      <c r="V2" s="8" t="inlineStr">
        <is>
          <t>Avance % 23/10</t>
        </is>
      </c>
      <c r="W2" s="8" t="inlineStr">
        <is>
          <t>Qué se hizo 23/10</t>
        </is>
      </c>
      <c r="X2" s="8" t="inlineStr">
        <is>
          <t>Avance % 30/10</t>
        </is>
      </c>
      <c r="Y2" s="8" t="inlineStr">
        <is>
          <t>Qué se hizo 30/10</t>
        </is>
      </c>
      <c r="Z2" s="8" t="inlineStr">
        <is>
          <t>Avance % 06/11</t>
        </is>
      </c>
      <c r="AA2" s="8" t="inlineStr">
        <is>
          <t>Qué se hizo 06/11</t>
        </is>
      </c>
      <c r="AB2" s="8" t="inlineStr">
        <is>
          <t>Avance % 13/11</t>
        </is>
      </c>
      <c r="AC2" s="8" t="inlineStr">
        <is>
          <t>Qué se hizo 13/11</t>
        </is>
      </c>
      <c r="AD2" s="8" t="inlineStr">
        <is>
          <t>Avance % 20/11</t>
        </is>
      </c>
      <c r="AE2" s="8" t="inlineStr">
        <is>
          <t>Qué se hizo 20/11</t>
        </is>
      </c>
      <c r="AF2" s="8" t="inlineStr">
        <is>
          <t>Avance % 27/11</t>
        </is>
      </c>
      <c r="AG2" s="8" t="inlineStr">
        <is>
          <t>Qué se hizo 27/11</t>
        </is>
      </c>
      <c r="AH2" s="8" t="inlineStr">
        <is>
          <t>Avance % 04/12</t>
        </is>
      </c>
      <c r="AI2" s="8" t="inlineStr">
        <is>
          <t>Qué se hizo 04/12</t>
        </is>
      </c>
      <c r="AJ2" s="8" t="inlineStr">
        <is>
          <t>Avance % 11/12</t>
        </is>
      </c>
      <c r="AK2" s="8" t="inlineStr">
        <is>
          <t>Qué se hizo 11/12</t>
        </is>
      </c>
      <c r="AL2" s="8" t="inlineStr">
        <is>
          <t>Avance % 18/12</t>
        </is>
      </c>
      <c r="AM2" s="8" t="inlineStr">
        <is>
          <t>Qué se hizo 18/12</t>
        </is>
      </c>
    </row>
    <row r="3" ht="48" customHeight="1">
      <c r="A3" s="9" t="inlineStr">
        <is>
          <t>SENAMHI-DHI-01</t>
        </is>
      </c>
      <c r="B3" s="9" t="inlineStr">
        <is>
          <t>DHI</t>
        </is>
      </c>
      <c r="C3" s="10" t="inlineStr">
        <is>
          <t>Aforos de caudales en cuencas de Piura y Lima (alerta temprana)</t>
        </is>
      </c>
      <c r="D3" s="10" t="inlineStr">
        <is>
          <t>Intensificar aforos para recalibrar y ajustar la curva altura gasto para la generación continua de caudales en tiempo real</t>
        </is>
      </c>
      <c r="E3" s="10" t="inlineStr">
        <is>
          <t>Informes técnicos de aforos de caudal</t>
        </is>
      </c>
      <c r="F3" s="9" t="inlineStr">
        <is>
          <t>N° informes técnicos</t>
        </is>
      </c>
      <c r="G3" s="9" t="n">
        <v>2</v>
      </c>
      <c r="H3" s="9" t="inlineStr">
        <is>
          <t>6</t>
        </is>
      </c>
      <c r="I3" s="9" t="inlineStr">
        <is>
          <t>Media</t>
        </is>
      </c>
      <c r="J3" s="9" t="inlineStr">
        <is>
          <t>No</t>
        </is>
      </c>
      <c r="K3" s="11" t="n">
        <v>46235</v>
      </c>
      <c r="L3" s="11" t="n">
        <v>46296</v>
      </c>
      <c r="M3" s="12" t="inlineStr">
        <is>
          <t>En proceso</t>
        </is>
      </c>
      <c r="N3" s="12" t="n"/>
      <c r="O3" s="12" t="n"/>
      <c r="P3" s="13" t="inlineStr">
        <is>
          <t>Eventual falla de equipos de mediciones de caudal</t>
        </is>
      </c>
      <c r="Q3" s="9" t="n">
        <v>15</v>
      </c>
      <c r="R3" s="14" t="n"/>
      <c r="S3" s="13" t="n"/>
      <c r="T3" s="14" t="n"/>
      <c r="U3" s="13" t="n"/>
      <c r="V3" s="14" t="n"/>
      <c r="W3" s="13" t="n"/>
      <c r="X3" s="14" t="n"/>
      <c r="Y3" s="13" t="n"/>
      <c r="Z3" s="14" t="n"/>
      <c r="AA3" s="13" t="n"/>
      <c r="AB3" s="14" t="n"/>
      <c r="AC3" s="13" t="n"/>
      <c r="AD3" s="14" t="n"/>
      <c r="AE3" s="13" t="n"/>
      <c r="AF3" s="14" t="n"/>
      <c r="AG3" s="13" t="n"/>
      <c r="AH3" s="14" t="n"/>
      <c r="AI3" s="13" t="n"/>
      <c r="AJ3" s="14" t="n"/>
      <c r="AK3" s="13" t="n"/>
      <c r="AL3" s="14" t="n"/>
      <c r="AM3" s="13" t="n"/>
    </row>
    <row r="4" ht="48" customHeight="1">
      <c r="A4" s="9" t="inlineStr">
        <is>
          <t>SENAMHI-DHI-02</t>
        </is>
      </c>
      <c r="B4" s="9" t="inlineStr">
        <is>
          <t>DHI</t>
        </is>
      </c>
      <c r="C4" s="10" t="inlineStr">
        <is>
          <t>Pronósticos hidrológicos estacionales</t>
        </is>
      </c>
      <c r="D4" s="10" t="inlineStr">
        <is>
          <t>Pronostico hidrológico estacional</t>
        </is>
      </c>
      <c r="E4" s="10" t="inlineStr">
        <is>
          <t>Informe técnico mensual del Pronostico hidrológico estacional</t>
        </is>
      </c>
      <c r="F4" s="9" t="inlineStr">
        <is>
          <t>N° informes técnicos</t>
        </is>
      </c>
      <c r="G4" s="9" t="n">
        <v>2</v>
      </c>
      <c r="H4" s="9" t="inlineStr">
        <is>
          <t>7</t>
        </is>
      </c>
      <c r="I4" s="9" t="inlineStr">
        <is>
          <t>Media</t>
        </is>
      </c>
      <c r="J4" s="9" t="inlineStr">
        <is>
          <t>No</t>
        </is>
      </c>
      <c r="K4" s="11" t="n">
        <v>46235</v>
      </c>
      <c r="L4" s="11" t="n">
        <v>46296</v>
      </c>
      <c r="M4" s="12" t="inlineStr">
        <is>
          <t>En proceso</t>
        </is>
      </c>
      <c r="N4" s="12" t="n"/>
      <c r="O4" s="12" t="n"/>
      <c r="P4" s="13" t="inlineStr">
        <is>
          <t>Demora en la implementación del pronóstico estacional de caudales</t>
        </is>
      </c>
      <c r="Q4" s="9" t="n">
        <v>50</v>
      </c>
      <c r="R4" s="14" t="n">
        <v>60</v>
      </c>
      <c r="S4" s="13" t="inlineStr">
        <is>
          <t>EJEMPLO (borrar): informe de setiembre emitido</t>
        </is>
      </c>
      <c r="T4" s="14" t="n"/>
      <c r="U4" s="13" t="n"/>
      <c r="V4" s="14" t="n"/>
      <c r="W4" s="13" t="n"/>
      <c r="X4" s="14" t="n"/>
      <c r="Y4" s="13" t="n"/>
      <c r="Z4" s="14" t="n"/>
      <c r="AA4" s="13" t="n"/>
      <c r="AB4" s="14" t="n"/>
      <c r="AC4" s="13" t="n"/>
      <c r="AD4" s="14" t="n"/>
      <c r="AE4" s="13" t="n"/>
      <c r="AF4" s="14" t="n"/>
      <c r="AG4" s="13" t="n"/>
      <c r="AH4" s="14" t="n"/>
      <c r="AI4" s="13" t="n"/>
      <c r="AJ4" s="14" t="n"/>
      <c r="AK4" s="13" t="n"/>
      <c r="AL4" s="14" t="n"/>
      <c r="AM4" s="13" t="n"/>
    </row>
    <row r="5" ht="48" customHeight="1">
      <c r="A5" s="9" t="inlineStr">
        <is>
          <t>SENAMHI-DHI-03</t>
        </is>
      </c>
      <c r="B5" s="9" t="inlineStr">
        <is>
          <t>DHI</t>
        </is>
      </c>
      <c r="C5" s="10" t="inlineStr">
        <is>
          <t>Portal ARES de inundaciones urbanas (Piura y Cusco)</t>
        </is>
      </c>
      <c r="D5" s="10" t="inlineStr">
        <is>
          <t>Actualización del portal frente a inundaciones urbanas ARES</t>
        </is>
      </c>
      <c r="E5" s="10" t="inlineStr">
        <is>
          <t>Plataforma digital de inundaciones-ARES</t>
        </is>
      </c>
      <c r="F5" s="9" t="inlineStr">
        <is>
          <t>Visor de inundaciones pluviales</t>
        </is>
      </c>
      <c r="G5" s="9" t="n">
        <v>1</v>
      </c>
      <c r="H5" s="9" t="inlineStr">
        <is>
          <t>0</t>
        </is>
      </c>
      <c r="I5" s="9" t="inlineStr">
        <is>
          <t>Media</t>
        </is>
      </c>
      <c r="J5" s="9" t="inlineStr">
        <is>
          <t>No</t>
        </is>
      </c>
      <c r="K5" s="11" t="n">
        <v>46204</v>
      </c>
      <c r="L5" s="11" t="n">
        <v>46357</v>
      </c>
      <c r="M5" s="12" t="inlineStr">
        <is>
          <t>En proceso</t>
        </is>
      </c>
      <c r="N5" s="12" t="n"/>
      <c r="O5" s="12" t="n"/>
      <c r="P5" s="13" t="inlineStr">
        <is>
          <t>Eventual retraso en la producción de plataforma digital por alta demanda en la atención de servicios de OTI</t>
        </is>
      </c>
      <c r="Q5" s="9" t="n">
        <v>30</v>
      </c>
      <c r="R5" s="14" t="n"/>
      <c r="S5" s="13" t="n"/>
      <c r="T5" s="14" t="n"/>
      <c r="U5" s="13" t="n"/>
      <c r="V5" s="14" t="n"/>
      <c r="W5" s="13" t="n"/>
      <c r="X5" s="14" t="n"/>
      <c r="Y5" s="13" t="n"/>
      <c r="Z5" s="14" t="n"/>
      <c r="AA5" s="13" t="n"/>
      <c r="AB5" s="14" t="n"/>
      <c r="AC5" s="13" t="n"/>
      <c r="AD5" s="14" t="n"/>
      <c r="AE5" s="13" t="n"/>
      <c r="AF5" s="14" t="n"/>
      <c r="AG5" s="13" t="n"/>
      <c r="AH5" s="14" t="n"/>
      <c r="AI5" s="13" t="n"/>
      <c r="AJ5" s="14" t="n"/>
      <c r="AK5" s="13" t="n"/>
      <c r="AL5" s="14" t="n"/>
      <c r="AM5" s="13" t="n"/>
    </row>
    <row r="6" ht="48" customHeight="1">
      <c r="A6" s="9" t="inlineStr">
        <is>
          <t>SENAMHI-DHI-04</t>
        </is>
      </c>
      <c r="B6" s="9" t="inlineStr">
        <is>
          <t>DHI</t>
        </is>
      </c>
      <c r="C6" s="10" t="inlineStr">
        <is>
          <t>Plataforma PANDORA en la cuenca del río Madre de Dios</t>
        </is>
      </c>
      <c r="D6" s="10" t="inlineStr">
        <is>
          <t>Extensión del producto de pronóstico hidrológico diario PANDORA a la cuenca del río Madre de Dios</t>
        </is>
      </c>
      <c r="E6" s="10" t="inlineStr">
        <is>
          <t>Plataforma digital de pronóstico de inundaciones en cuenca Madre de Dios</t>
        </is>
      </c>
      <c r="F6" s="9" t="inlineStr">
        <is>
          <t>Visor de pronóstico de inundaciones</t>
        </is>
      </c>
      <c r="G6" s="9" t="n">
        <v>1</v>
      </c>
      <c r="H6" s="9" t="inlineStr">
        <is>
          <t>0</t>
        </is>
      </c>
      <c r="I6" s="9" t="inlineStr">
        <is>
          <t>Media</t>
        </is>
      </c>
      <c r="J6" s="9" t="inlineStr">
        <is>
          <t>No</t>
        </is>
      </c>
      <c r="K6" s="11" t="n">
        <v>46204</v>
      </c>
      <c r="L6" s="11" t="n">
        <v>46357</v>
      </c>
      <c r="M6" s="12" t="inlineStr">
        <is>
          <t>En proceso</t>
        </is>
      </c>
      <c r="N6" s="12" t="n"/>
      <c r="O6" s="12" t="n"/>
      <c r="P6" s="13" t="inlineStr">
        <is>
          <t>Eventual retraso en la producción de plataforma digital por alta demanda en la atención de servicios de OTI</t>
        </is>
      </c>
      <c r="Q6" s="9" t="n">
        <v>50</v>
      </c>
      <c r="R6" s="14" t="n"/>
      <c r="S6" s="13" t="n"/>
      <c r="T6" s="14" t="n"/>
      <c r="U6" s="13" t="n"/>
      <c r="V6" s="14" t="n"/>
      <c r="W6" s="13" t="n"/>
      <c r="X6" s="14" t="n"/>
      <c r="Y6" s="13" t="n"/>
      <c r="Z6" s="14" t="n"/>
      <c r="AA6" s="13" t="n"/>
      <c r="AB6" s="14" t="n"/>
      <c r="AC6" s="13" t="n"/>
      <c r="AD6" s="14" t="n"/>
      <c r="AE6" s="13" t="n"/>
      <c r="AF6" s="14" t="n"/>
      <c r="AG6" s="13" t="n"/>
      <c r="AH6" s="14" t="n"/>
      <c r="AI6" s="13" t="n"/>
      <c r="AJ6" s="14" t="n"/>
      <c r="AK6" s="13" t="n"/>
      <c r="AL6" s="14" t="n"/>
      <c r="AM6" s="13" t="n"/>
    </row>
    <row r="7" ht="48" customHeight="1">
      <c r="A7" s="9" t="inlineStr">
        <is>
          <t>SENAMHI-DRD-01</t>
        </is>
      </c>
      <c r="B7" s="9" t="inlineStr">
        <is>
          <t>DRD</t>
        </is>
      </c>
      <c r="C7" s="10" t="inlineStr">
        <is>
          <t>Sensores automáticos en estaciones convencionales (vertiente occidental)</t>
        </is>
      </c>
      <c r="D7" s="10" t="inlineStr">
        <is>
          <t>Implementación de sensores de precipitación, humedad relativa y temperatura en estaciones convencionales</t>
        </is>
      </c>
      <c r="E7" s="10" t="inlineStr">
        <is>
          <t>Modernnización de estaciones</t>
        </is>
      </c>
      <c r="F7" s="9" t="inlineStr">
        <is>
          <t>Estación</t>
        </is>
      </c>
      <c r="G7" s="9" t="n">
        <v>27</v>
      </c>
      <c r="H7" s="9" t="inlineStr">
        <is>
          <t>17</t>
        </is>
      </c>
      <c r="I7" s="9" t="inlineStr">
        <is>
          <t>Media</t>
        </is>
      </c>
      <c r="J7" s="9" t="inlineStr">
        <is>
          <t>Sí</t>
        </is>
      </c>
      <c r="K7" s="11" t="n">
        <v>46235</v>
      </c>
      <c r="L7" s="11" t="n">
        <v>46336</v>
      </c>
      <c r="M7" s="12" t="inlineStr">
        <is>
          <t>En proceso</t>
        </is>
      </c>
      <c r="N7" s="12" t="n"/>
      <c r="O7" s="12" t="n"/>
      <c r="P7" s="13" t="inlineStr">
        <is>
          <t>Eventual demora en la entrega de insumos por los proveedores.</t>
        </is>
      </c>
      <c r="Q7" s="9" t="n">
        <v>50</v>
      </c>
      <c r="R7" s="14" t="n"/>
      <c r="S7" s="13" t="n"/>
      <c r="T7" s="14" t="n"/>
      <c r="U7" s="13" t="n"/>
      <c r="V7" s="14" t="n"/>
      <c r="W7" s="13" t="n"/>
      <c r="X7" s="14" t="n"/>
      <c r="Y7" s="13" t="n"/>
      <c r="Z7" s="14" t="n"/>
      <c r="AA7" s="13" t="n"/>
      <c r="AB7" s="14" t="n"/>
      <c r="AC7" s="13" t="n"/>
      <c r="AD7" s="14" t="n"/>
      <c r="AE7" s="13" t="n"/>
      <c r="AF7" s="14" t="n"/>
      <c r="AG7" s="13" t="n"/>
      <c r="AH7" s="14" t="n"/>
      <c r="AI7" s="13" t="n"/>
      <c r="AJ7" s="14" t="n"/>
      <c r="AK7" s="13" t="n"/>
      <c r="AL7" s="14" t="n"/>
      <c r="AM7" s="13" t="n"/>
    </row>
    <row r="8" ht="48" customHeight="1">
      <c r="A8" s="9" t="inlineStr">
        <is>
          <t>SENAMHI-DSCA-01</t>
        </is>
      </c>
      <c r="B8" s="9" t="inlineStr">
        <is>
          <t>DSCA</t>
        </is>
      </c>
      <c r="C8" s="10" t="inlineStr">
        <is>
          <t>Monitor Integrado de Sequías (ISPI), incluye sequía agrícola</t>
        </is>
      </c>
      <c r="D8" s="10" t="inlineStr">
        <is>
          <t>Puesta en operación del Monitor de Sequía Agrícola (V1.0) con acceso público.</t>
        </is>
      </c>
      <c r="E8" s="10" t="inlineStr">
        <is>
          <t>Disponibilizar en tiempo real los indices</t>
        </is>
      </c>
      <c r="F8" s="9" t="inlineStr">
        <is>
          <t>Plataforma interactiva</t>
        </is>
      </c>
      <c r="G8" s="9" t="n">
        <v>1</v>
      </c>
      <c r="H8" s="9" t="inlineStr">
        <is>
          <t>0</t>
        </is>
      </c>
      <c r="I8" s="9" t="inlineStr">
        <is>
          <t>Media</t>
        </is>
      </c>
      <c r="J8" s="9" t="inlineStr">
        <is>
          <t>No</t>
        </is>
      </c>
      <c r="K8" s="11" t="n">
        <v>46254</v>
      </c>
      <c r="L8" s="11" t="n">
        <v>46356</v>
      </c>
      <c r="M8" s="12" t="inlineStr">
        <is>
          <t>En proceso</t>
        </is>
      </c>
      <c r="N8" s="12" t="n"/>
      <c r="O8" s="12" t="n"/>
      <c r="P8" s="13" t="inlineStr">
        <is>
          <t>Demora en la implementación de los índices</t>
        </is>
      </c>
      <c r="Q8" s="9" t="n">
        <v>85</v>
      </c>
      <c r="R8" s="14" t="n"/>
      <c r="S8" s="13" t="n"/>
      <c r="T8" s="14" t="n"/>
      <c r="U8" s="13" t="n"/>
      <c r="V8" s="14" t="n"/>
      <c r="W8" s="13" t="n"/>
      <c r="X8" s="14" t="n"/>
      <c r="Y8" s="13" t="n"/>
      <c r="Z8" s="14" t="n"/>
      <c r="AA8" s="13" t="n"/>
      <c r="AB8" s="14" t="n"/>
      <c r="AC8" s="13" t="n"/>
      <c r="AD8" s="14" t="n"/>
      <c r="AE8" s="13" t="n"/>
      <c r="AF8" s="14" t="n"/>
      <c r="AG8" s="13" t="n"/>
      <c r="AH8" s="14" t="n"/>
      <c r="AI8" s="13" t="n"/>
      <c r="AJ8" s="14" t="n"/>
      <c r="AK8" s="13" t="n"/>
      <c r="AL8" s="14" t="n"/>
      <c r="AM8" s="13" t="n"/>
    </row>
    <row r="9" ht="48" customHeight="1">
      <c r="A9" s="9" t="inlineStr">
        <is>
          <t>SENAMHI-DSCA-02</t>
        </is>
      </c>
      <c r="B9" s="9" t="inlineStr">
        <is>
          <t>DSCA</t>
        </is>
      </c>
      <c r="C9" s="10" t="inlineStr">
        <is>
          <t>Equipamiento agrometeorológico de precisión en estaciones MAP</t>
        </is>
      </c>
      <c r="D9" s="10" t="inlineStr">
        <is>
          <t>Implementación y puesta en operación de equipamiento agrometeorológico de precisión</t>
        </is>
      </c>
      <c r="E9" s="10" t="inlineStr">
        <is>
          <t>13 nuevos equipamiento agrometeorológicos de precisión en operación.</t>
        </is>
      </c>
      <c r="F9" s="9" t="inlineStr">
        <is>
          <t>Estación</t>
        </is>
      </c>
      <c r="G9" s="9" t="n">
        <v>159</v>
      </c>
      <c r="H9" s="9" t="inlineStr">
        <is>
          <t>146</t>
        </is>
      </c>
      <c r="I9" s="9" t="inlineStr">
        <is>
          <t>Media</t>
        </is>
      </c>
      <c r="J9" s="9" t="inlineStr">
        <is>
          <t>No</t>
        </is>
      </c>
      <c r="K9" s="11" t="n">
        <v>46254</v>
      </c>
      <c r="L9" s="11" t="n">
        <v>46356</v>
      </c>
      <c r="M9" s="12" t="inlineStr">
        <is>
          <t>En proceso</t>
        </is>
      </c>
      <c r="N9" s="12" t="n"/>
      <c r="O9" s="12" t="n"/>
      <c r="P9" s="13" t="inlineStr">
        <is>
          <t>Demora en la instalación de equipos</t>
        </is>
      </c>
      <c r="Q9" s="9" t="n">
        <v>53</v>
      </c>
      <c r="R9" s="14" t="n">
        <v>58</v>
      </c>
      <c r="S9" s="13" t="inlineStr">
        <is>
          <t>EJEMPLO (borrar): 2 estaciones instaladas en Cusco</t>
        </is>
      </c>
      <c r="T9" s="14" t="n"/>
      <c r="U9" s="13" t="n"/>
      <c r="V9" s="14" t="n"/>
      <c r="W9" s="13" t="n"/>
      <c r="X9" s="14" t="n"/>
      <c r="Y9" s="13" t="n"/>
      <c r="Z9" s="14" t="n"/>
      <c r="AA9" s="13" t="n"/>
      <c r="AB9" s="14" t="n"/>
      <c r="AC9" s="13" t="n"/>
      <c r="AD9" s="14" t="n"/>
      <c r="AE9" s="13" t="n"/>
      <c r="AF9" s="14" t="n"/>
      <c r="AG9" s="13" t="n"/>
      <c r="AH9" s="14" t="n"/>
      <c r="AI9" s="13" t="n"/>
      <c r="AJ9" s="14" t="n"/>
      <c r="AK9" s="13" t="n"/>
      <c r="AL9" s="14" t="n"/>
      <c r="AM9" s="13" t="n"/>
    </row>
    <row r="10" ht="48" customHeight="1">
      <c r="A10" s="9" t="inlineStr">
        <is>
          <t>SENAMHI-DSCA-03</t>
        </is>
      </c>
      <c r="B10" s="9" t="inlineStr">
        <is>
          <t>DSCA</t>
        </is>
      </c>
      <c r="C10" s="10" t="inlineStr">
        <is>
          <t>Plataforma SORIAN con modelos de alta resolución</t>
        </is>
      </c>
      <c r="D10" s="10" t="inlineStr">
        <is>
          <t>Implementar mejoras funcionales y operativas en SORIAN, incorporando y optimizando procesos automatizados para la generación, actualización, procesamiento y visualización de productos de predicción climática en diferentes escalas temporales.</t>
        </is>
      </c>
      <c r="E10" s="10" t="inlineStr">
        <is>
          <t>Plataforma SORIAN fortalecida y operativa, con mejoras implementadas en los procesos de generación, procesamiento y visualización de productos climáticos. Informe técnico de implementación y validación de las mejoras realizadas. La actividad se realizará con recursos propios</t>
        </is>
      </c>
      <c r="F10" s="9" t="inlineStr">
        <is>
          <t>Sistema / Plataforma fortalecida</t>
        </is>
      </c>
      <c r="G10" s="9" t="n">
        <v>1</v>
      </c>
      <c r="H10" s="9" t="inlineStr">
        <is>
          <t>0</t>
        </is>
      </c>
      <c r="I10" s="9" t="inlineStr">
        <is>
          <t>Alta</t>
        </is>
      </c>
      <c r="J10" s="9" t="inlineStr">
        <is>
          <t>Sí</t>
        </is>
      </c>
      <c r="K10" s="11" t="n">
        <v>46235</v>
      </c>
      <c r="L10" s="11" t="n">
        <v>46325</v>
      </c>
      <c r="M10" s="12" t="inlineStr">
        <is>
          <t>En proceso</t>
        </is>
      </c>
      <c r="N10" s="12" t="n"/>
      <c r="O10" s="12" t="n"/>
      <c r="P10" s="13" t="inlineStr">
        <is>
          <t>Limitaciones de soporte tecnológico y disponibilidad de personal especializado</t>
        </is>
      </c>
      <c r="Q10" s="9" t="n">
        <v>30</v>
      </c>
      <c r="R10" s="14" t="n"/>
      <c r="S10" s="13" t="n"/>
      <c r="T10" s="14" t="n"/>
      <c r="U10" s="13" t="n"/>
      <c r="V10" s="14" t="n"/>
      <c r="W10" s="13" t="n"/>
      <c r="X10" s="14" t="n"/>
      <c r="Y10" s="13" t="n"/>
      <c r="Z10" s="14" t="n"/>
      <c r="AA10" s="13" t="n"/>
      <c r="AB10" s="14" t="n"/>
      <c r="AC10" s="13" t="n"/>
      <c r="AD10" s="14" t="n"/>
      <c r="AE10" s="13" t="n"/>
      <c r="AF10" s="14" t="n"/>
      <c r="AG10" s="13" t="n"/>
      <c r="AH10" s="14" t="n"/>
      <c r="AI10" s="13" t="n"/>
      <c r="AJ10" s="14" t="n"/>
      <c r="AK10" s="13" t="n"/>
      <c r="AL10" s="14" t="n"/>
      <c r="AM10" s="13" t="n"/>
    </row>
    <row r="11" ht="48" customHeight="1">
      <c r="A11" s="9" t="inlineStr">
        <is>
          <t>SENAMHI-DMCA-01</t>
        </is>
      </c>
      <c r="B11" s="9" t="inlineStr">
        <is>
          <t>DMCA</t>
        </is>
      </c>
      <c r="C11" s="10" t="inlineStr">
        <is>
          <t>Boletines de calidad del aire por incendios forestales en la Amazonía</t>
        </is>
      </c>
      <c r="D11" s="10" t="inlineStr">
        <is>
          <t>Generación de información técnica y oportuna mediante la Vigilancia Ambiental Atmosférica en la Amazonía peruana frente a la ocurrencia de incendios forestales en el contexto del Fenómeno El Niño.</t>
        </is>
      </c>
      <c r="E11" s="10" t="inlineStr">
        <is>
          <t>Boletín de calidad del aire</t>
        </is>
      </c>
      <c r="F11" s="9" t="inlineStr">
        <is>
          <t>Documento</t>
        </is>
      </c>
      <c r="G11" s="9" t="n">
        <v>3</v>
      </c>
      <c r="H11" s="9" t="inlineStr">
        <is>
          <t>0</t>
        </is>
      </c>
      <c r="I11" s="9" t="inlineStr">
        <is>
          <t>Alta</t>
        </is>
      </c>
      <c r="J11" s="9" t="inlineStr">
        <is>
          <t>Sí</t>
        </is>
      </c>
      <c r="K11" s="11" t="n">
        <v>46235</v>
      </c>
      <c r="L11" s="11" t="n">
        <v>46336</v>
      </c>
      <c r="M11" s="12" t="inlineStr">
        <is>
          <t>En proceso</t>
        </is>
      </c>
      <c r="N11" s="12" t="n"/>
      <c r="O11" s="12" t="n"/>
      <c r="P11" s="13" t="inlineStr">
        <is>
          <t>Insuficiente cobertura de monitoreo de la calidad del aire en la Amazonía peruana, lo que limita la generación de información oportuna para evaluar los impactos de los incendios forestales durante el Fenómeno El Niño.</t>
        </is>
      </c>
      <c r="Q11" s="9" t="n">
        <v>35</v>
      </c>
      <c r="R11" s="14" t="n">
        <v>45</v>
      </c>
      <c r="S11" s="13" t="inlineStr">
        <is>
          <t>EJEMPLO (borrar): se instalaron 2 puntos de monitoreo en Loreto</t>
        </is>
      </c>
      <c r="T11" s="14" t="n"/>
      <c r="U11" s="13" t="n"/>
      <c r="V11" s="14" t="n"/>
      <c r="W11" s="13" t="n"/>
      <c r="X11" s="14" t="n"/>
      <c r="Y11" s="13" t="n"/>
      <c r="Z11" s="14" t="n"/>
      <c r="AA11" s="13" t="n"/>
      <c r="AB11" s="14" t="n"/>
      <c r="AC11" s="13" t="n"/>
      <c r="AD11" s="14" t="n"/>
      <c r="AE11" s="13" t="n"/>
      <c r="AF11" s="14" t="n"/>
      <c r="AG11" s="13" t="n"/>
      <c r="AH11" s="14" t="n"/>
      <c r="AI11" s="13" t="n"/>
      <c r="AJ11" s="14" t="n"/>
      <c r="AK11" s="13" t="n"/>
      <c r="AL11" s="14" t="n"/>
      <c r="AM11" s="13" t="n"/>
    </row>
    <row r="12" ht="48" customHeight="1">
      <c r="A12" s="9" t="inlineStr">
        <is>
          <t>SENAMHI-DMCA-02</t>
        </is>
      </c>
      <c r="B12" s="9" t="inlineStr">
        <is>
          <t>DMCA</t>
        </is>
      </c>
      <c r="C12" s="10" t="inlineStr">
        <is>
          <t>Campaña de intercomparación de espectrofotómetros Dobson 2026</t>
        </is>
      </c>
      <c r="D12" s="10" t="inlineStr">
        <is>
          <t>Campaña Regional de Intercomparación de Espectrofotómetros Dobson en América Latina 2026”, a realizarse del 09 al 27 de noviembre de 2026 en la ciudad de Buenos Aires, República Argentina</t>
        </is>
      </c>
      <c r="E12" s="10" t="inlineStr">
        <is>
          <t>Certificado de capacitación</t>
        </is>
      </c>
      <c r="F12" s="9" t="inlineStr">
        <is>
          <t>Informe</t>
        </is>
      </c>
      <c r="G12" s="9" t="n">
        <v>2</v>
      </c>
      <c r="H12" s="9" t="inlineStr">
        <is>
          <t>0</t>
        </is>
      </c>
      <c r="I12" s="9" t="inlineStr">
        <is>
          <t>Alta</t>
        </is>
      </c>
      <c r="J12" s="9" t="inlineStr">
        <is>
          <t>No</t>
        </is>
      </c>
      <c r="K12" s="11" t="n">
        <v>46335</v>
      </c>
      <c r="L12" s="11" t="n">
        <v>46353</v>
      </c>
      <c r="M12" s="12" t="inlineStr">
        <is>
          <t>En proceso</t>
        </is>
      </c>
      <c r="N12" s="12" t="n"/>
      <c r="O12" s="12" t="n"/>
      <c r="P12" s="13" t="inlineStr">
        <is>
          <t>Disponibilidad de movilidad para el traslado del Espectrofotómetro Dobson desde el Observatorio de Vigilancia Atmosférica de Marcapomacocha a la Sede Central</t>
        </is>
      </c>
      <c r="Q12" s="9" t="n">
        <v>20</v>
      </c>
      <c r="R12" s="14" t="n"/>
      <c r="S12" s="13" t="n"/>
      <c r="T12" s="14" t="n"/>
      <c r="U12" s="13" t="n"/>
      <c r="V12" s="14" t="n"/>
      <c r="W12" s="13" t="n"/>
      <c r="X12" s="14" t="n"/>
      <c r="Y12" s="13" t="n"/>
      <c r="Z12" s="14" t="n"/>
      <c r="AA12" s="13" t="n"/>
      <c r="AB12" s="14" t="n"/>
      <c r="AC12" s="13" t="n"/>
      <c r="AD12" s="14" t="n"/>
      <c r="AE12" s="13" t="n"/>
      <c r="AF12" s="14" t="n"/>
      <c r="AG12" s="13" t="n"/>
      <c r="AH12" s="14" t="n"/>
      <c r="AI12" s="13" t="n"/>
      <c r="AJ12" s="14" t="n"/>
      <c r="AK12" s="13" t="n"/>
      <c r="AL12" s="14" t="n"/>
      <c r="AM12" s="13" t="n"/>
    </row>
    <row r="13" ht="48" customHeight="1">
      <c r="A13" s="9" t="inlineStr">
        <is>
          <t>SENAMHI-DMCA-03</t>
        </is>
      </c>
      <c r="B13" s="9" t="inlineStr">
        <is>
          <t>DMCA</t>
        </is>
      </c>
      <c r="C13" s="10" t="inlineStr">
        <is>
          <t>Productos de los radares meteorológicos de Piura e Ica</t>
        </is>
      </c>
      <c r="D13" s="10" t="inlineStr">
        <is>
          <t>Desarrollo de productos meteorológicos basados en datos de los radares meteorológicos para el fortalecimiento del Sistema de Alerta Temprana.</t>
        </is>
      </c>
      <c r="E13" s="10" t="inlineStr">
        <is>
          <t>Visualización web de productos meteorológicos básicos generados a partir de datos de los radares meteorológicos.</t>
        </is>
      </c>
      <c r="F13" s="9" t="inlineStr">
        <is>
          <t>Número de imágenes generadas por cada radar (Piura e Ica)</t>
        </is>
      </c>
      <c r="G13" s="9" t="inlineStr">
        <is>
          <t>Por cada radar: 288 imágenes/día.</t>
        </is>
      </c>
      <c r="H13" s="9" t="inlineStr">
        <is>
          <t>0</t>
        </is>
      </c>
      <c r="I13" s="9" t="inlineStr">
        <is>
          <t>Alta</t>
        </is>
      </c>
      <c r="J13" s="9" t="inlineStr">
        <is>
          <t>No</t>
        </is>
      </c>
      <c r="K13" s="11" t="n">
        <v>46235</v>
      </c>
      <c r="L13" s="11" t="n">
        <v>46255</v>
      </c>
      <c r="M13" s="12" t="inlineStr">
        <is>
          <t>Completado</t>
        </is>
      </c>
      <c r="N13" s="12" t="n"/>
      <c r="O13" s="12" t="n"/>
      <c r="P13" s="13" t="inlineStr">
        <is>
          <t>Implementación en la página web del SENAMHI de las imágenes de radar meteorológico de Piura e Ica, permitiendo su visualización para el monitoreo de las condiciones atmosféricas. https://www.senamhi.gob.pe/?p=satelites-radares</t>
        </is>
      </c>
      <c r="Q13" s="9" t="n">
        <v>100</v>
      </c>
      <c r="R13" s="14" t="n"/>
      <c r="S13" s="13" t="n"/>
      <c r="T13" s="14" t="n"/>
      <c r="U13" s="13" t="n"/>
      <c r="V13" s="14" t="n"/>
      <c r="W13" s="13" t="n"/>
      <c r="X13" s="14" t="n"/>
      <c r="Y13" s="13" t="n"/>
      <c r="Z13" s="14" t="n"/>
      <c r="AA13" s="13" t="n"/>
      <c r="AB13" s="14" t="n"/>
      <c r="AC13" s="13" t="n"/>
      <c r="AD13" s="14" t="n"/>
      <c r="AE13" s="13" t="n"/>
      <c r="AF13" s="14" t="n"/>
      <c r="AG13" s="13" t="n"/>
      <c r="AH13" s="14" t="n"/>
      <c r="AI13" s="13" t="n"/>
      <c r="AJ13" s="14" t="n"/>
      <c r="AK13" s="13" t="n"/>
      <c r="AL13" s="14" t="n"/>
      <c r="AM13" s="13" t="n"/>
    </row>
    <row r="14" ht="48" customHeight="1">
      <c r="A14" s="9" t="inlineStr">
        <is>
          <t>SENAMHI-DMCA-04</t>
        </is>
      </c>
      <c r="B14" s="9" t="inlineStr">
        <is>
          <t>DMCA</t>
        </is>
      </c>
      <c r="C14" s="10" t="inlineStr">
        <is>
          <t>Monitor de Sequías del SENAMHI v1 (índices climáticos)</t>
        </is>
      </c>
      <c r="D14" s="10" t="inlineStr">
        <is>
          <t>Monitor de Sequías del SENAMHI v1.</t>
        </is>
      </c>
      <c r="E14" s="10" t="inlineStr">
        <is>
          <t>Pagina web de consulta sobre el monitoreo de Sequias a nivel nacional con indices.</t>
        </is>
      </c>
      <c r="F14" s="9" t="inlineStr">
        <is>
          <t>Pagina WEB</t>
        </is>
      </c>
      <c r="G14" s="9" t="n">
        <v>1</v>
      </c>
      <c r="H14" s="9" t="inlineStr">
        <is>
          <t>0</t>
        </is>
      </c>
      <c r="I14" s="9" t="inlineStr">
        <is>
          <t>Media</t>
        </is>
      </c>
      <c r="J14" s="9" t="inlineStr">
        <is>
          <t>No</t>
        </is>
      </c>
      <c r="K14" s="11" t="n"/>
      <c r="L14" s="11" t="n">
        <v>46295</v>
      </c>
      <c r="M14" s="12" t="inlineStr">
        <is>
          <t>En proceso</t>
        </is>
      </c>
      <c r="N14" s="12" t="n"/>
      <c r="O14" s="12" t="n"/>
      <c r="P14" s="13" t="inlineStr">
        <is>
          <t>Limitaciones tecnológicas para actualizaciones futuras</t>
        </is>
      </c>
      <c r="Q14" s="9" t="n">
        <v>98</v>
      </c>
      <c r="R14" s="14" t="n">
        <v>100</v>
      </c>
      <c r="S14" s="13" t="inlineStr">
        <is>
          <t>EJEMPLO (borrar): Monitor de Sequías publicado en la web</t>
        </is>
      </c>
      <c r="T14" s="14" t="n"/>
      <c r="U14" s="13" t="n"/>
      <c r="V14" s="14" t="n"/>
      <c r="W14" s="13" t="n"/>
      <c r="X14" s="14" t="n"/>
      <c r="Y14" s="13" t="n"/>
      <c r="Z14" s="14" t="n"/>
      <c r="AA14" s="13" t="n"/>
      <c r="AB14" s="14" t="n"/>
      <c r="AC14" s="13" t="n"/>
      <c r="AD14" s="14" t="n"/>
      <c r="AE14" s="13" t="n"/>
      <c r="AF14" s="14" t="n"/>
      <c r="AG14" s="13" t="n"/>
      <c r="AH14" s="14" t="n"/>
      <c r="AI14" s="13" t="n"/>
      <c r="AJ14" s="14" t="n"/>
      <c r="AK14" s="13" t="n"/>
      <c r="AL14" s="14" t="n"/>
      <c r="AM14" s="13" t="n"/>
    </row>
    <row r="15" ht="48" customHeight="1">
      <c r="A15" s="9" t="inlineStr">
        <is>
          <t>SENAMHI-DMCA-05</t>
        </is>
      </c>
      <c r="B15" s="9" t="inlineStr">
        <is>
          <t>DMCA</t>
        </is>
      </c>
      <c r="C15" s="10" t="inlineStr">
        <is>
          <t>Ruta de Vigilancia El Niño (difusión en regiones expuestas)</t>
        </is>
      </c>
      <c r="D15" s="10" t="inlineStr">
        <is>
          <t>Ruta de Vigilancia El Niño</t>
        </is>
      </c>
      <c r="E15" s="10" t="inlineStr">
        <is>
          <t>Reporte de comisiones en las regiones.</t>
        </is>
      </c>
      <c r="F15" s="9" t="inlineStr">
        <is>
          <t>Comisiones de servicio.</t>
        </is>
      </c>
      <c r="G15" s="9" t="n">
        <v>1</v>
      </c>
      <c r="H15" s="9" t="inlineStr">
        <is>
          <t>0</t>
        </is>
      </c>
      <c r="I15" s="9" t="inlineStr">
        <is>
          <t>Media</t>
        </is>
      </c>
      <c r="J15" s="9" t="inlineStr">
        <is>
          <t>Sí</t>
        </is>
      </c>
      <c r="K15" s="11" t="n">
        <v>46235</v>
      </c>
      <c r="L15" s="11" t="n">
        <v>46357</v>
      </c>
      <c r="M15" s="12" t="inlineStr">
        <is>
          <t>En proceso</t>
        </is>
      </c>
      <c r="N15" s="12" t="n"/>
      <c r="O15" s="12" t="n"/>
      <c r="P15" s="13" t="inlineStr">
        <is>
          <t>Cruce de actividades que limiten viaje de comisionados</t>
        </is>
      </c>
      <c r="Q15" s="9" t="n">
        <v>50</v>
      </c>
      <c r="R15" s="14" t="n">
        <v>55</v>
      </c>
      <c r="S15" s="13" t="inlineStr">
        <is>
          <t>EJEMPLO (borrar): comisiones a Chiclayo y Tumbes realizadas</t>
        </is>
      </c>
      <c r="T15" s="14" t="n"/>
      <c r="U15" s="13" t="n"/>
      <c r="V15" s="14" t="n"/>
      <c r="W15" s="13" t="n"/>
      <c r="X15" s="14" t="n"/>
      <c r="Y15" s="13" t="n"/>
      <c r="Z15" s="14" t="n"/>
      <c r="AA15" s="13" t="n"/>
      <c r="AB15" s="14" t="n"/>
      <c r="AC15" s="13" t="n"/>
      <c r="AD15" s="14" t="n"/>
      <c r="AE15" s="13" t="n"/>
      <c r="AF15" s="14" t="n"/>
      <c r="AG15" s="13" t="n"/>
      <c r="AH15" s="14" t="n"/>
      <c r="AI15" s="13" t="n"/>
      <c r="AJ15" s="14" t="n"/>
      <c r="AK15" s="13" t="n"/>
      <c r="AL15" s="14" t="n"/>
      <c r="AM15" s="13" t="n"/>
    </row>
    <row r="16" ht="48" customHeight="1">
      <c r="A16" s="9" t="n"/>
      <c r="B16" s="9" t="n"/>
      <c r="C16" s="10" t="n"/>
      <c r="D16" s="10" t="n"/>
      <c r="E16" s="10" t="n"/>
      <c r="F16" s="9" t="n"/>
      <c r="G16" s="9" t="n"/>
      <c r="H16" s="9" t="n"/>
      <c r="I16" s="9" t="n"/>
      <c r="J16" s="9" t="n"/>
      <c r="K16" s="11" t="n"/>
      <c r="L16" s="11" t="n"/>
      <c r="M16" s="12" t="n"/>
      <c r="N16" s="12" t="n"/>
      <c r="O16" s="12" t="n"/>
      <c r="P16" s="13" t="n"/>
      <c r="Q16" s="9" t="n"/>
      <c r="R16" s="14" t="n"/>
      <c r="S16" s="13" t="n"/>
      <c r="T16" s="14" t="n"/>
      <c r="U16" s="13" t="n"/>
      <c r="V16" s="14" t="n"/>
      <c r="W16" s="13" t="n"/>
      <c r="X16" s="14" t="n"/>
      <c r="Y16" s="13" t="n"/>
      <c r="Z16" s="14" t="n"/>
      <c r="AA16" s="13" t="n"/>
      <c r="AB16" s="14" t="n"/>
      <c r="AC16" s="13" t="n"/>
      <c r="AD16" s="14" t="n"/>
      <c r="AE16" s="13" t="n"/>
      <c r="AF16" s="14" t="n"/>
      <c r="AG16" s="13" t="n"/>
      <c r="AH16" s="14" t="n"/>
      <c r="AI16" s="13" t="n"/>
      <c r="AJ16" s="14" t="n"/>
      <c r="AK16" s="13" t="n"/>
      <c r="AL16" s="14" t="n"/>
      <c r="AM16" s="13" t="n"/>
    </row>
    <row r="17" ht="48" customHeight="1">
      <c r="A17" s="9" t="n"/>
      <c r="B17" s="9" t="n"/>
      <c r="C17" s="10" t="n"/>
      <c r="D17" s="10" t="n"/>
      <c r="E17" s="10" t="n"/>
      <c r="F17" s="9" t="n"/>
      <c r="G17" s="9" t="n"/>
      <c r="H17" s="9" t="n"/>
      <c r="I17" s="9" t="n"/>
      <c r="J17" s="9" t="n"/>
      <c r="K17" s="11" t="n"/>
      <c r="L17" s="11" t="n"/>
      <c r="M17" s="12" t="n"/>
      <c r="N17" s="12" t="n"/>
      <c r="O17" s="12" t="n"/>
      <c r="P17" s="13" t="n"/>
      <c r="Q17" s="9" t="n"/>
      <c r="R17" s="14" t="n"/>
      <c r="S17" s="13" t="n"/>
      <c r="T17" s="14" t="n"/>
      <c r="U17" s="13" t="n"/>
      <c r="V17" s="14" t="n"/>
      <c r="W17" s="13" t="n"/>
      <c r="X17" s="14" t="n"/>
      <c r="Y17" s="13" t="n"/>
      <c r="Z17" s="14" t="n"/>
      <c r="AA17" s="13" t="n"/>
      <c r="AB17" s="14" t="n"/>
      <c r="AC17" s="13" t="n"/>
      <c r="AD17" s="14" t="n"/>
      <c r="AE17" s="13" t="n"/>
      <c r="AF17" s="14" t="n"/>
      <c r="AG17" s="13" t="n"/>
      <c r="AH17" s="14" t="n"/>
      <c r="AI17" s="13" t="n"/>
      <c r="AJ17" s="14" t="n"/>
      <c r="AK17" s="13" t="n"/>
      <c r="AL17" s="14" t="n"/>
      <c r="AM17" s="13" t="n"/>
    </row>
    <row r="18" ht="48" customHeight="1">
      <c r="A18" s="9" t="n"/>
      <c r="B18" s="9" t="n"/>
      <c r="C18" s="10" t="n"/>
      <c r="D18" s="10" t="n"/>
      <c r="E18" s="10" t="n"/>
      <c r="F18" s="9" t="n"/>
      <c r="G18" s="9" t="n"/>
      <c r="H18" s="9" t="n"/>
      <c r="I18" s="9" t="n"/>
      <c r="J18" s="9" t="n"/>
      <c r="K18" s="11" t="n"/>
      <c r="L18" s="11" t="n"/>
      <c r="M18" s="12" t="n"/>
      <c r="N18" s="12" t="n"/>
      <c r="O18" s="12" t="n"/>
      <c r="P18" s="13" t="n"/>
      <c r="Q18" s="9" t="n"/>
      <c r="R18" s="14" t="n"/>
      <c r="S18" s="13" t="n"/>
      <c r="T18" s="14" t="n"/>
      <c r="U18" s="13" t="n"/>
      <c r="V18" s="14" t="n"/>
      <c r="W18" s="13" t="n"/>
      <c r="X18" s="14" t="n"/>
      <c r="Y18" s="13" t="n"/>
      <c r="Z18" s="14" t="n"/>
      <c r="AA18" s="13" t="n"/>
      <c r="AB18" s="14" t="n"/>
      <c r="AC18" s="13" t="n"/>
      <c r="AD18" s="14" t="n"/>
      <c r="AE18" s="13" t="n"/>
      <c r="AF18" s="14" t="n"/>
      <c r="AG18" s="13" t="n"/>
      <c r="AH18" s="14" t="n"/>
      <c r="AI18" s="13" t="n"/>
      <c r="AJ18" s="14" t="n"/>
      <c r="AK18" s="13" t="n"/>
      <c r="AL18" s="14" t="n"/>
      <c r="AM18" s="13" t="n"/>
    </row>
    <row r="19" ht="48" customHeight="1">
      <c r="A19" s="9" t="n"/>
      <c r="B19" s="9" t="n"/>
      <c r="C19" s="10" t="n"/>
      <c r="D19" s="10" t="n"/>
      <c r="E19" s="10" t="n"/>
      <c r="F19" s="9" t="n"/>
      <c r="G19" s="9" t="n"/>
      <c r="H19" s="9" t="n"/>
      <c r="I19" s="9" t="n"/>
      <c r="J19" s="9" t="n"/>
      <c r="K19" s="11" t="n"/>
      <c r="L19" s="11" t="n"/>
      <c r="M19" s="12" t="n"/>
      <c r="N19" s="12" t="n"/>
      <c r="O19" s="12" t="n"/>
      <c r="P19" s="13" t="n"/>
      <c r="Q19" s="9" t="n"/>
      <c r="R19" s="14" t="n"/>
      <c r="S19" s="13" t="n"/>
      <c r="T19" s="14" t="n"/>
      <c r="U19" s="13" t="n"/>
      <c r="V19" s="14" t="n"/>
      <c r="W19" s="13" t="n"/>
      <c r="X19" s="14" t="n"/>
      <c r="Y19" s="13" t="n"/>
      <c r="Z19" s="14" t="n"/>
      <c r="AA19" s="13" t="n"/>
      <c r="AB19" s="14" t="n"/>
      <c r="AC19" s="13" t="n"/>
      <c r="AD19" s="14" t="n"/>
      <c r="AE19" s="13" t="n"/>
      <c r="AF19" s="14" t="n"/>
      <c r="AG19" s="13" t="n"/>
      <c r="AH19" s="14" t="n"/>
      <c r="AI19" s="13" t="n"/>
      <c r="AJ19" s="14" t="n"/>
      <c r="AK19" s="13" t="n"/>
      <c r="AL19" s="14" t="n"/>
      <c r="AM19" s="13" t="n"/>
    </row>
    <row r="20" ht="48" customHeight="1">
      <c r="A20" s="9" t="n"/>
      <c r="B20" s="9" t="n"/>
      <c r="C20" s="10" t="n"/>
      <c r="D20" s="10" t="n"/>
      <c r="E20" s="10" t="n"/>
      <c r="F20" s="9" t="n"/>
      <c r="G20" s="9" t="n"/>
      <c r="H20" s="9" t="n"/>
      <c r="I20" s="9" t="n"/>
      <c r="J20" s="9" t="n"/>
      <c r="K20" s="11" t="n"/>
      <c r="L20" s="11" t="n"/>
      <c r="M20" s="12" t="n"/>
      <c r="N20" s="12" t="n"/>
      <c r="O20" s="12" t="n"/>
      <c r="P20" s="13" t="n"/>
      <c r="Q20" s="9" t="n"/>
      <c r="R20" s="14" t="n"/>
      <c r="S20" s="13" t="n"/>
      <c r="T20" s="14" t="n"/>
      <c r="U20" s="13" t="n"/>
      <c r="V20" s="14" t="n"/>
      <c r="W20" s="13" t="n"/>
      <c r="X20" s="14" t="n"/>
      <c r="Y20" s="13" t="n"/>
      <c r="Z20" s="14" t="n"/>
      <c r="AA20" s="13" t="n"/>
      <c r="AB20" s="14" t="n"/>
      <c r="AC20" s="13" t="n"/>
      <c r="AD20" s="14" t="n"/>
      <c r="AE20" s="13" t="n"/>
      <c r="AF20" s="14" t="n"/>
      <c r="AG20" s="13" t="n"/>
      <c r="AH20" s="14" t="n"/>
      <c r="AI20" s="13" t="n"/>
      <c r="AJ20" s="14" t="n"/>
      <c r="AK20" s="13" t="n"/>
      <c r="AL20" s="14" t="n"/>
      <c r="AM20" s="13" t="n"/>
    </row>
    <row r="21" ht="48" customHeight="1">
      <c r="A21" s="9" t="n"/>
      <c r="B21" s="9" t="n"/>
      <c r="C21" s="10" t="n"/>
      <c r="D21" s="10" t="n"/>
      <c r="E21" s="10" t="n"/>
      <c r="F21" s="9" t="n"/>
      <c r="G21" s="9" t="n"/>
      <c r="H21" s="9" t="n"/>
      <c r="I21" s="9" t="n"/>
      <c r="J21" s="9" t="n"/>
      <c r="K21" s="11" t="n"/>
      <c r="L21" s="11" t="n"/>
      <c r="M21" s="12" t="n"/>
      <c r="N21" s="12" t="n"/>
      <c r="O21" s="12" t="n"/>
      <c r="P21" s="13" t="n"/>
      <c r="Q21" s="9" t="n"/>
      <c r="R21" s="14" t="n"/>
      <c r="S21" s="13" t="n"/>
      <c r="T21" s="14" t="n"/>
      <c r="U21" s="13" t="n"/>
      <c r="V21" s="14" t="n"/>
      <c r="W21" s="13" t="n"/>
      <c r="X21" s="14" t="n"/>
      <c r="Y21" s="13" t="n"/>
      <c r="Z21" s="14" t="n"/>
      <c r="AA21" s="13" t="n"/>
      <c r="AB21" s="14" t="n"/>
      <c r="AC21" s="13" t="n"/>
      <c r="AD21" s="14" t="n"/>
      <c r="AE21" s="13" t="n"/>
      <c r="AF21" s="14" t="n"/>
      <c r="AG21" s="13" t="n"/>
      <c r="AH21" s="14" t="n"/>
      <c r="AI21" s="13" t="n"/>
      <c r="AJ21" s="14" t="n"/>
      <c r="AK21" s="13" t="n"/>
      <c r="AL21" s="14" t="n"/>
      <c r="AM21" s="13" t="n"/>
    </row>
    <row r="22" ht="48" customHeight="1">
      <c r="A22" s="9" t="n"/>
      <c r="B22" s="9" t="n"/>
      <c r="C22" s="10" t="n"/>
      <c r="D22" s="10" t="n"/>
      <c r="E22" s="10" t="n"/>
      <c r="F22" s="9" t="n"/>
      <c r="G22" s="9" t="n"/>
      <c r="H22" s="9" t="n"/>
      <c r="I22" s="9" t="n"/>
      <c r="J22" s="9" t="n"/>
      <c r="K22" s="11" t="n"/>
      <c r="L22" s="11" t="n"/>
      <c r="M22" s="12" t="n"/>
      <c r="N22" s="12" t="n"/>
      <c r="O22" s="12" t="n"/>
      <c r="P22" s="13" t="n"/>
      <c r="Q22" s="9" t="n"/>
      <c r="R22" s="14" t="n"/>
      <c r="S22" s="13" t="n"/>
      <c r="T22" s="14" t="n"/>
      <c r="U22" s="13" t="n"/>
      <c r="V22" s="14" t="n"/>
      <c r="W22" s="13" t="n"/>
      <c r="X22" s="14" t="n"/>
      <c r="Y22" s="13" t="n"/>
      <c r="Z22" s="14" t="n"/>
      <c r="AA22" s="13" t="n"/>
      <c r="AB22" s="14" t="n"/>
      <c r="AC22" s="13" t="n"/>
      <c r="AD22" s="14" t="n"/>
      <c r="AE22" s="13" t="n"/>
      <c r="AF22" s="14" t="n"/>
      <c r="AG22" s="13" t="n"/>
      <c r="AH22" s="14" t="n"/>
      <c r="AI22" s="13" t="n"/>
      <c r="AJ22" s="14" t="n"/>
      <c r="AK22" s="13" t="n"/>
      <c r="AL22" s="14" t="n"/>
      <c r="AM22" s="13" t="n"/>
    </row>
    <row r="23" ht="48" customHeight="1">
      <c r="A23" s="9" t="n"/>
      <c r="B23" s="9" t="n"/>
      <c r="C23" s="10" t="n"/>
      <c r="D23" s="10" t="n"/>
      <c r="E23" s="10" t="n"/>
      <c r="F23" s="9" t="n"/>
      <c r="G23" s="9" t="n"/>
      <c r="H23" s="9" t="n"/>
      <c r="I23" s="9" t="n"/>
      <c r="J23" s="9" t="n"/>
      <c r="K23" s="11" t="n"/>
      <c r="L23" s="11" t="n"/>
      <c r="M23" s="12" t="n"/>
      <c r="N23" s="12" t="n"/>
      <c r="O23" s="12" t="n"/>
      <c r="P23" s="13" t="n"/>
      <c r="Q23" s="9" t="n"/>
      <c r="R23" s="14" t="n"/>
      <c r="S23" s="13" t="n"/>
      <c r="T23" s="14" t="n"/>
      <c r="U23" s="13" t="n"/>
      <c r="V23" s="14" t="n"/>
      <c r="W23" s="13" t="n"/>
      <c r="X23" s="14" t="n"/>
      <c r="Y23" s="13" t="n"/>
      <c r="Z23" s="14" t="n"/>
      <c r="AA23" s="13" t="n"/>
      <c r="AB23" s="14" t="n"/>
      <c r="AC23" s="13" t="n"/>
      <c r="AD23" s="14" t="n"/>
      <c r="AE23" s="13" t="n"/>
      <c r="AF23" s="14" t="n"/>
      <c r="AG23" s="13" t="n"/>
      <c r="AH23" s="14" t="n"/>
      <c r="AI23" s="13" t="n"/>
      <c r="AJ23" s="14" t="n"/>
      <c r="AK23" s="13" t="n"/>
      <c r="AL23" s="14" t="n"/>
      <c r="AM23" s="13" t="n"/>
    </row>
    <row r="24" ht="48" customHeight="1">
      <c r="A24" s="9" t="n"/>
      <c r="B24" s="9" t="n"/>
      <c r="C24" s="10" t="n"/>
      <c r="D24" s="10" t="n"/>
      <c r="E24" s="10" t="n"/>
      <c r="F24" s="9" t="n"/>
      <c r="G24" s="9" t="n"/>
      <c r="H24" s="9" t="n"/>
      <c r="I24" s="9" t="n"/>
      <c r="J24" s="9" t="n"/>
      <c r="K24" s="11" t="n"/>
      <c r="L24" s="11" t="n"/>
      <c r="M24" s="12" t="n"/>
      <c r="N24" s="12" t="n"/>
      <c r="O24" s="12" t="n"/>
      <c r="P24" s="13" t="n"/>
      <c r="Q24" s="9" t="n"/>
      <c r="R24" s="14" t="n"/>
      <c r="S24" s="13" t="n"/>
      <c r="T24" s="14" t="n"/>
      <c r="U24" s="13" t="n"/>
      <c r="V24" s="14" t="n"/>
      <c r="W24" s="13" t="n"/>
      <c r="X24" s="14" t="n"/>
      <c r="Y24" s="13" t="n"/>
      <c r="Z24" s="14" t="n"/>
      <c r="AA24" s="13" t="n"/>
      <c r="AB24" s="14" t="n"/>
      <c r="AC24" s="13" t="n"/>
      <c r="AD24" s="14" t="n"/>
      <c r="AE24" s="13" t="n"/>
      <c r="AF24" s="14" t="n"/>
      <c r="AG24" s="13" t="n"/>
      <c r="AH24" s="14" t="n"/>
      <c r="AI24" s="13" t="n"/>
      <c r="AJ24" s="14" t="n"/>
      <c r="AK24" s="13" t="n"/>
      <c r="AL24" s="14" t="n"/>
      <c r="AM24" s="13" t="n"/>
    </row>
    <row r="25" ht="48" customHeight="1">
      <c r="A25" s="9" t="n"/>
      <c r="B25" s="9" t="n"/>
      <c r="C25" s="10" t="n"/>
      <c r="D25" s="10" t="n"/>
      <c r="E25" s="10" t="n"/>
      <c r="F25" s="9" t="n"/>
      <c r="G25" s="9" t="n"/>
      <c r="H25" s="9" t="n"/>
      <c r="I25" s="9" t="n"/>
      <c r="J25" s="9" t="n"/>
      <c r="K25" s="11" t="n"/>
      <c r="L25" s="11" t="n"/>
      <c r="M25" s="12" t="n"/>
      <c r="N25" s="12" t="n"/>
      <c r="O25" s="12" t="n"/>
      <c r="P25" s="13" t="n"/>
      <c r="Q25" s="9" t="n"/>
      <c r="R25" s="14" t="n"/>
      <c r="S25" s="13" t="n"/>
      <c r="T25" s="14" t="n"/>
      <c r="U25" s="13" t="n"/>
      <c r="V25" s="14" t="n"/>
      <c r="W25" s="13" t="n"/>
      <c r="X25" s="14" t="n"/>
      <c r="Y25" s="13" t="n"/>
      <c r="Z25" s="14" t="n"/>
      <c r="AA25" s="13" t="n"/>
      <c r="AB25" s="14" t="n"/>
      <c r="AC25" s="13" t="n"/>
      <c r="AD25" s="14" t="n"/>
      <c r="AE25" s="13" t="n"/>
      <c r="AF25" s="14" t="n"/>
      <c r="AG25" s="13" t="n"/>
      <c r="AH25" s="14" t="n"/>
      <c r="AI25" s="13" t="n"/>
      <c r="AJ25" s="14" t="n"/>
      <c r="AK25" s="13" t="n"/>
      <c r="AL25" s="14" t="n"/>
      <c r="AM25" s="13" t="n"/>
    </row>
  </sheetData>
  <autoFilter ref="A2:AM25"/>
  <conditionalFormatting sqref="M3:M25">
    <cfRule type="cellIs" priority="1" operator="equal" dxfId="0">
      <formula>"Sin iniciar"</formula>
    </cfRule>
    <cfRule type="cellIs" priority="2" operator="equal" dxfId="1">
      <formula>"En proceso"</formula>
    </cfRule>
    <cfRule type="cellIs" priority="3" operator="equal" dxfId="2">
      <formula>"Con riesgo / retraso"</formula>
    </cfRule>
    <cfRule type="cellIs" priority="4" operator="equal" dxfId="3">
      <formula>"Completado"</formula>
    </cfRule>
    <cfRule type="cellIs" priority="5" operator="equal" dxfId="4">
      <formula>"Reprogramado"</formula>
    </cfRule>
  </conditionalFormatting>
  <conditionalFormatting sqref="R2:AM25">
    <cfRule type="expression" priority="6" dxfId="5">
      <formula>OR(R$1=Config!$B$4,Q$1=Config!$B$4)</formula>
    </cfRule>
  </conditionalFormatting>
  <dataValidations count="3">
    <dataValidation sqref="R3:R25 T3:T25 V3:V25 X3:X25 Z3:Z25 AB3:AB25 AD3:AD25 AF3:AF25 AH3:AH25 AJ3:AJ25 AL3:AL25" showDropDown="0" showInputMessage="0" showErrorMessage="1" allowBlank="1" errorTitle="Avance acumulado" error="Escribe un número entero de 0 a 100 (avance acumulado)." type="whole" operator="between">
      <formula1>0</formula1>
      <formula2>100</formula2>
    </dataValidation>
    <dataValidation sqref="M3:M25" showDropDown="0" showInputMessage="0" showErrorMessage="0" allowBlank="1" type="list">
      <formula1>"Sin iniciar,En proceso,Con riesgo / retraso,Completado,Reprogramado"</formula1>
    </dataValidation>
    <dataValidation sqref="J3:J25" showDropDown="0" showInputMessage="0" showErrorMessage="0" allowBlank="1" type="list">
      <formula1>"Sí,No"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2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7" customWidth="1" min="1" max="1"/>
    <col width="9" customWidth="1" min="2" max="2"/>
    <col width="36" customWidth="1" min="3" max="3"/>
    <col width="36" customWidth="1" min="4" max="4"/>
    <col width="26" customWidth="1" min="5" max="5"/>
    <col width="14" customWidth="1" min="6" max="6"/>
    <col width="8" customWidth="1" min="7" max="7"/>
    <col width="9" customWidth="1" min="8" max="8"/>
    <col width="10" customWidth="1" min="9" max="9"/>
    <col width="10" customWidth="1" min="10" max="10"/>
    <col width="16" customWidth="1" min="11" max="11"/>
    <col width="18" customWidth="1" min="12" max="12"/>
    <col width="11" customWidth="1" min="13" max="13"/>
    <col width="11" customWidth="1" min="14" max="14"/>
    <col width="22" customWidth="1" min="15" max="15"/>
    <col width="28" customWidth="1" min="16" max="16"/>
    <col width="11" customWidth="1" min="17" max="17"/>
    <col width="9" customWidth="1" min="18" max="18"/>
    <col width="36" customWidth="1" min="19" max="19"/>
    <col width="9" customWidth="1" min="20" max="20"/>
    <col width="9" customWidth="1" min="21" max="21"/>
    <col width="18" customWidth="1" min="22" max="22"/>
    <col width="10" customWidth="1" min="23" max="23"/>
    <col width="10" customWidth="1" min="24" max="24"/>
    <col width="10" customWidth="1" min="25" max="25"/>
    <col width="8" customWidth="1" min="26" max="26"/>
  </cols>
  <sheetData>
    <row r="1" ht="30" customHeight="1">
      <c r="A1" s="7" t="inlineStr">
        <is>
          <t>ID</t>
        </is>
      </c>
      <c r="B1" s="7" t="inlineStr">
        <is>
          <t>Dirección</t>
        </is>
      </c>
      <c r="C1" s="7" t="inlineStr">
        <is>
          <t>Nombre corto</t>
        </is>
      </c>
      <c r="D1" s="7" t="inlineStr">
        <is>
          <t>Actividad</t>
        </is>
      </c>
      <c r="E1" s="7" t="inlineStr">
        <is>
          <t>Producto</t>
        </is>
      </c>
      <c r="F1" s="7" t="inlineStr">
        <is>
          <t>Unidad</t>
        </is>
      </c>
      <c r="G1" s="7" t="inlineStr">
        <is>
          <t>Meta</t>
        </is>
      </c>
      <c r="H1" s="7" t="inlineStr">
        <is>
          <t>Línea base</t>
        </is>
      </c>
      <c r="I1" s="7" t="inlineStr">
        <is>
          <t>Prioridad (MINAM)</t>
        </is>
      </c>
      <c r="J1" s="7" t="inlineStr">
        <is>
          <t>Relacionada con El Niño</t>
        </is>
      </c>
      <c r="K1" s="7" t="inlineStr">
        <is>
          <t>Estado actual</t>
        </is>
      </c>
      <c r="L1" s="7" t="inlineStr">
        <is>
          <t>Enlace responsable</t>
        </is>
      </c>
      <c r="M1" s="7" t="inlineStr">
        <is>
          <t>Fecha inicio</t>
        </is>
      </c>
      <c r="N1" s="7" t="inlineStr">
        <is>
          <t>Fecha límite</t>
        </is>
      </c>
      <c r="O1" s="7" t="inlineStr">
        <is>
          <t>Link entregable</t>
        </is>
      </c>
      <c r="P1" s="7" t="inlineStr">
        <is>
          <t>Alertas</t>
        </is>
      </c>
      <c r="Q1" s="7" t="inlineStr">
        <is>
          <t>Último corte</t>
        </is>
      </c>
      <c r="R1" s="7" t="inlineStr">
        <is>
          <t>Avance (%)</t>
        </is>
      </c>
      <c r="S1" s="7" t="inlineStr">
        <is>
          <t>Acciones</t>
        </is>
      </c>
      <c r="T1" s="7" t="inlineStr">
        <is>
          <t>Día de gestión</t>
        </is>
      </c>
      <c r="U1" s="7" t="inlineStr">
        <is>
          <t>Días para el límite</t>
        </is>
      </c>
      <c r="V1" s="7" t="inlineStr">
        <is>
          <t>Situación de plazo</t>
        </is>
      </c>
      <c r="W1" s="7" t="inlineStr">
        <is>
          <t>Reportó esta semana</t>
        </is>
      </c>
      <c r="X1" s="7" t="inlineStr">
        <is>
          <t>Semanas sin reportar</t>
        </is>
      </c>
      <c r="Y1" s="7" t="inlineStr">
        <is>
          <t>Hitos cumplidos</t>
        </is>
      </c>
      <c r="Z1" s="7" t="inlineStr">
        <is>
          <t>Base (%)</t>
        </is>
      </c>
    </row>
    <row r="2">
      <c r="A2" s="15">
        <f>IF(Seguimiento!A3="","",Seguimiento!A3)</f>
        <v/>
      </c>
      <c r="B2" s="15">
        <f>IF(Seguimiento!A3="","",Seguimiento!B3)</f>
        <v/>
      </c>
      <c r="C2" s="15">
        <f>IF(Seguimiento!A3="","",Seguimiento!C3&amp;"")</f>
        <v/>
      </c>
      <c r="D2" s="15">
        <f>IF(Seguimiento!A3="","",Seguimiento!D3&amp;"")</f>
        <v/>
      </c>
      <c r="E2" s="15">
        <f>IF(Seguimiento!A3="","",Seguimiento!E3&amp;"")</f>
        <v/>
      </c>
      <c r="F2" s="15">
        <f>IF(Seguimiento!A3="","",Seguimiento!F3&amp;"")</f>
        <v/>
      </c>
      <c r="G2" s="15">
        <f>IF(Seguimiento!A3="","",Seguimiento!G3&amp;"")</f>
        <v/>
      </c>
      <c r="H2" s="15">
        <f>IF(Seguimiento!A3="","",Seguimiento!H3&amp;"")</f>
        <v/>
      </c>
      <c r="I2" s="15">
        <f>IF(Seguimiento!A3="","",Seguimiento!I3&amp;"")</f>
        <v/>
      </c>
      <c r="J2" s="15">
        <f>IF(Seguimiento!A3="","",Seguimiento!J3&amp;"")</f>
        <v/>
      </c>
      <c r="K2" s="15">
        <f>IF(Seguimiento!A3="","",Seguimiento!M3&amp;"")</f>
        <v/>
      </c>
      <c r="L2" s="15">
        <f>IF(Seguimiento!A3="","",Seguimiento!N3&amp;"")</f>
        <v/>
      </c>
      <c r="M2" s="16">
        <f>IF(Seguimiento!K3="","",Seguimiento!K3)</f>
        <v/>
      </c>
      <c r="N2" s="16">
        <f>IF(Seguimiento!L3="","",Seguimiento!L3)</f>
        <v/>
      </c>
      <c r="O2" s="15">
        <f>IF(Seguimiento!A3="","",Seguimiento!O3&amp;"")</f>
        <v/>
      </c>
      <c r="P2" s="15">
        <f>IF(Seguimiento!A3="","",Seguimiento!P3&amp;"")</f>
        <v/>
      </c>
      <c r="Q2" s="16">
        <f>IF(A2="","",IFERROR(LOOKUP(2,1/((Seguimiento!$R$1:$AM$1&lt;&gt;"")*(Seguimiento!$R3:$AM3&lt;&gt;"")),Seguimiento!$R$1:$AM$1),"Base"))</f>
        <v/>
      </c>
      <c r="R2" s="15">
        <f>IF(A2="","",IF(ISERROR(LOOKUP(2,1/((Seguimiento!$R$1:$AM$1&lt;&gt;"")*(Seguimiento!$R3:$AM3&lt;&gt;"")),Seguimiento!$R3:$AM3)),IF(Seguimiento!Q3="","",IF(ISNUMBER(Seguimiento!Q3),IF(Seguimiento!Q3&lt;=1,Seguimiento!Q3*100,Seguimiento!Q3),IFERROR(IF(VALUE(SUBSTITUTE(SUBSTITUTE(Seguimiento!Q3,"%",""),",","."))&lt;=1,VALUE(SUBSTITUTE(SUBSTITUTE(Seguimiento!Q3,"%",""),",","."))*100,VALUE(SUBSTITUTE(SUBSTITUTE(Seguimiento!Q3,"%",""),",","."))),""))),IF(ISNUMBER(LOOKUP(2,1/((Seguimiento!$R$1:$AM$1&lt;&gt;"")*(Seguimiento!$R3:$AM3&lt;&gt;"")),Seguimiento!$R3:$AM3)),IF(LOOKUP(2,1/((Seguimiento!$R$1:$AM$1&lt;&gt;"")*(Seguimiento!$R3:$AM3&lt;&gt;"")),Seguimiento!$R3:$AM3)&lt;=1,LOOKUP(2,1/((Seguimiento!$R$1:$AM$1&lt;&gt;"")*(Seguimiento!$R3:$AM3&lt;&gt;"")),Seguimiento!$R3:$AM3)*100,LOOKUP(2,1/((Seguimiento!$R$1:$AM$1&lt;&gt;"")*(Seguimiento!$R3:$AM3&lt;&gt;"")),Seguimiento!$R3:$AM3)),IFERROR(IF(VALUE(SUBSTITUTE(SUBSTITUTE(LOOKUP(2,1/((Seguimiento!$R$1:$AM$1&lt;&gt;"")*(Seguimiento!$R3:$AM3&lt;&gt;"")),Seguimiento!$R3:$AM3),"%",""),",","."))&lt;=1,VALUE(SUBSTITUTE(SUBSTITUTE(LOOKUP(2,1/((Seguimiento!$R$1:$AM$1&lt;&gt;"")*(Seguimiento!$R3:$AM3&lt;&gt;"")),Seguimiento!$R3:$AM3),"%",""),",","."))*100,VALUE(SUBSTITUTE(SUBSTITUTE(LOOKUP(2,1/((Seguimiento!$R$1:$AM$1&lt;&gt;"")*(Seguimiento!$R3:$AM3&lt;&gt;"")),Seguimiento!$R3:$AM3),"%",""),",","."))),""))))</f>
        <v/>
      </c>
      <c r="S2" s="15">
        <f>IF(OR(A2="",Q2="Base"),"",IFERROR(INDEX(Seguimiento!$R3:$AM3,MATCH(Q2,Seguimiento!$R$1:$AM$1,0)+1)&amp;"",""))</f>
        <v/>
      </c>
      <c r="T2" s="15">
        <f>IF(A2="","",TODAY()-Config!$B$2+1)</f>
        <v/>
      </c>
      <c r="U2" s="15">
        <f>IF(OR(A2="",N2=""),"",N2-TODAY())</f>
        <v/>
      </c>
      <c r="V2" s="15">
        <f>IF(A2="","",IF(AND(R2&lt;&gt;"",R2&gt;=100),"Completada",IF(N2="","Sin fecha límite",IF(TODAY()&gt;N2,"Fecha límite vencida",IF(AND(M2&lt;&gt;"",TODAY()&lt;M2),"Por iniciar","En plazo")))))</f>
        <v/>
      </c>
      <c r="W2" s="15">
        <f>IF(A2="","",IF(IFERROR(INDEX(Seguimiento!$R3:$AM3,MATCH(Config!$B$4,Seguimiento!$R$1:$AM$1,0)),"")="","No","Sí"))</f>
        <v/>
      </c>
      <c r="X2" s="15">
        <f>IF(A2="","",COUNTIF(Seguimiento!$R$1:$AM$1,"&lt;="&amp;Config!$B$4)-SUMPRODUCT((Seguimiento!$R$1:$AM$1&lt;&gt;"")*(Seguimiento!$R$1:$AM$1&lt;=Config!$B$4)*(Seguimiento!$R3:$AM3&lt;&gt;"")))</f>
        <v/>
      </c>
      <c r="Y2" s="15">
        <f>IF(ISNUMBER(SEARCH("Ruta de Vigilancia",C2)),COUNTIF(Hitos_RutaElNino!$C$2:$C$200,"Sí")&amp;" / "&amp;COUNTIF(Hitos_RutaElNino!$A$2:$A$200,"&lt;&gt;"),"")</f>
        <v/>
      </c>
      <c r="Z2" s="15">
        <f>IF(A2="","",IF(Seguimiento!Q3="","",IF(ISNUMBER(Seguimiento!Q3),IF(Seguimiento!Q3&lt;=1,Seguimiento!Q3*100,Seguimiento!Q3),IFERROR(IF(VALUE(SUBSTITUTE(SUBSTITUTE(Seguimiento!Q3,"%",""),",","."))&lt;=1,VALUE(SUBSTITUTE(SUBSTITUTE(Seguimiento!Q3,"%",""),",","."))*100,VALUE(SUBSTITUTE(SUBSTITUTE(Seguimiento!Q3,"%",""),",","."))),""))))</f>
        <v/>
      </c>
    </row>
    <row r="3">
      <c r="A3" s="15">
        <f>IF(Seguimiento!A4="","",Seguimiento!A4)</f>
        <v/>
      </c>
      <c r="B3" s="15">
        <f>IF(Seguimiento!A4="","",Seguimiento!B4)</f>
        <v/>
      </c>
      <c r="C3" s="15">
        <f>IF(Seguimiento!A4="","",Seguimiento!C4&amp;"")</f>
        <v/>
      </c>
      <c r="D3" s="15">
        <f>IF(Seguimiento!A4="","",Seguimiento!D4&amp;"")</f>
        <v/>
      </c>
      <c r="E3" s="15">
        <f>IF(Seguimiento!A4="","",Seguimiento!E4&amp;"")</f>
        <v/>
      </c>
      <c r="F3" s="15">
        <f>IF(Seguimiento!A4="","",Seguimiento!F4&amp;"")</f>
        <v/>
      </c>
      <c r="G3" s="15">
        <f>IF(Seguimiento!A4="","",Seguimiento!G4&amp;"")</f>
        <v/>
      </c>
      <c r="H3" s="15">
        <f>IF(Seguimiento!A4="","",Seguimiento!H4&amp;"")</f>
        <v/>
      </c>
      <c r="I3" s="15">
        <f>IF(Seguimiento!A4="","",Seguimiento!I4&amp;"")</f>
        <v/>
      </c>
      <c r="J3" s="15">
        <f>IF(Seguimiento!A4="","",Seguimiento!J4&amp;"")</f>
        <v/>
      </c>
      <c r="K3" s="15">
        <f>IF(Seguimiento!A4="","",Seguimiento!M4&amp;"")</f>
        <v/>
      </c>
      <c r="L3" s="15">
        <f>IF(Seguimiento!A4="","",Seguimiento!N4&amp;"")</f>
        <v/>
      </c>
      <c r="M3" s="16">
        <f>IF(Seguimiento!K4="","",Seguimiento!K4)</f>
        <v/>
      </c>
      <c r="N3" s="16">
        <f>IF(Seguimiento!L4="","",Seguimiento!L4)</f>
        <v/>
      </c>
      <c r="O3" s="15">
        <f>IF(Seguimiento!A4="","",Seguimiento!O4&amp;"")</f>
        <v/>
      </c>
      <c r="P3" s="15">
        <f>IF(Seguimiento!A4="","",Seguimiento!P4&amp;"")</f>
        <v/>
      </c>
      <c r="Q3" s="16">
        <f>IF(A3="","",IFERROR(LOOKUP(2,1/((Seguimiento!$R$1:$AM$1&lt;&gt;"")*(Seguimiento!$R4:$AM4&lt;&gt;"")),Seguimiento!$R$1:$AM$1),"Base"))</f>
        <v/>
      </c>
      <c r="R3" s="15">
        <f>IF(A3="","",IF(ISERROR(LOOKUP(2,1/((Seguimiento!$R$1:$AM$1&lt;&gt;"")*(Seguimiento!$R4:$AM4&lt;&gt;"")),Seguimiento!$R4:$AM4)),IF(Seguimiento!Q4="","",IF(ISNUMBER(Seguimiento!Q4),IF(Seguimiento!Q4&lt;=1,Seguimiento!Q4*100,Seguimiento!Q4),IFERROR(IF(VALUE(SUBSTITUTE(SUBSTITUTE(Seguimiento!Q4,"%",""),",","."))&lt;=1,VALUE(SUBSTITUTE(SUBSTITUTE(Seguimiento!Q4,"%",""),",","."))*100,VALUE(SUBSTITUTE(SUBSTITUTE(Seguimiento!Q4,"%",""),",","."))),""))),IF(ISNUMBER(LOOKUP(2,1/((Seguimiento!$R$1:$AM$1&lt;&gt;"")*(Seguimiento!$R4:$AM4&lt;&gt;"")),Seguimiento!$R4:$AM4)),IF(LOOKUP(2,1/((Seguimiento!$R$1:$AM$1&lt;&gt;"")*(Seguimiento!$R4:$AM4&lt;&gt;"")),Seguimiento!$R4:$AM4)&lt;=1,LOOKUP(2,1/((Seguimiento!$R$1:$AM$1&lt;&gt;"")*(Seguimiento!$R4:$AM4&lt;&gt;"")),Seguimiento!$R4:$AM4)*100,LOOKUP(2,1/((Seguimiento!$R$1:$AM$1&lt;&gt;"")*(Seguimiento!$R4:$AM4&lt;&gt;"")),Seguimiento!$R4:$AM4)),IFERROR(IF(VALUE(SUBSTITUTE(SUBSTITUTE(LOOKUP(2,1/((Seguimiento!$R$1:$AM$1&lt;&gt;"")*(Seguimiento!$R4:$AM4&lt;&gt;"")),Seguimiento!$R4:$AM4),"%",""),",","."))&lt;=1,VALUE(SUBSTITUTE(SUBSTITUTE(LOOKUP(2,1/((Seguimiento!$R$1:$AM$1&lt;&gt;"")*(Seguimiento!$R4:$AM4&lt;&gt;"")),Seguimiento!$R4:$AM4),"%",""),",","."))*100,VALUE(SUBSTITUTE(SUBSTITUTE(LOOKUP(2,1/((Seguimiento!$R$1:$AM$1&lt;&gt;"")*(Seguimiento!$R4:$AM4&lt;&gt;"")),Seguimiento!$R4:$AM4),"%",""),",","."))),""))))</f>
        <v/>
      </c>
      <c r="S3" s="15">
        <f>IF(OR(A3="",Q3="Base"),"",IFERROR(INDEX(Seguimiento!$R4:$AM4,MATCH(Q3,Seguimiento!$R$1:$AM$1,0)+1)&amp;"",""))</f>
        <v/>
      </c>
      <c r="T3" s="15">
        <f>IF(A3="","",TODAY()-Config!$B$2+1)</f>
        <v/>
      </c>
      <c r="U3" s="15">
        <f>IF(OR(A3="",N3=""),"",N3-TODAY())</f>
        <v/>
      </c>
      <c r="V3" s="15">
        <f>IF(A3="","",IF(AND(R3&lt;&gt;"",R3&gt;=100),"Completada",IF(N3="","Sin fecha límite",IF(TODAY()&gt;N3,"Fecha límite vencida",IF(AND(M3&lt;&gt;"",TODAY()&lt;M3),"Por iniciar","En plazo")))))</f>
        <v/>
      </c>
      <c r="W3" s="15">
        <f>IF(A3="","",IF(IFERROR(INDEX(Seguimiento!$R4:$AM4,MATCH(Config!$B$4,Seguimiento!$R$1:$AM$1,0)),"")="","No","Sí"))</f>
        <v/>
      </c>
      <c r="X3" s="15">
        <f>IF(A3="","",COUNTIF(Seguimiento!$R$1:$AM$1,"&lt;="&amp;Config!$B$4)-SUMPRODUCT((Seguimiento!$R$1:$AM$1&lt;&gt;"")*(Seguimiento!$R$1:$AM$1&lt;=Config!$B$4)*(Seguimiento!$R4:$AM4&lt;&gt;"")))</f>
        <v/>
      </c>
      <c r="Y3" s="15">
        <f>IF(ISNUMBER(SEARCH("Ruta de Vigilancia",C3)),COUNTIF(Hitos_RutaElNino!$C$2:$C$200,"Sí")&amp;" / "&amp;COUNTIF(Hitos_RutaElNino!$A$2:$A$200,"&lt;&gt;"),"")</f>
        <v/>
      </c>
      <c r="Z3" s="15">
        <f>IF(A3="","",IF(Seguimiento!Q4="","",IF(ISNUMBER(Seguimiento!Q4),IF(Seguimiento!Q4&lt;=1,Seguimiento!Q4*100,Seguimiento!Q4),IFERROR(IF(VALUE(SUBSTITUTE(SUBSTITUTE(Seguimiento!Q4,"%",""),",","."))&lt;=1,VALUE(SUBSTITUTE(SUBSTITUTE(Seguimiento!Q4,"%",""),",","."))*100,VALUE(SUBSTITUTE(SUBSTITUTE(Seguimiento!Q4,"%",""),",","."))),""))))</f>
        <v/>
      </c>
    </row>
    <row r="4">
      <c r="A4" s="15">
        <f>IF(Seguimiento!A5="","",Seguimiento!A5)</f>
        <v/>
      </c>
      <c r="B4" s="15">
        <f>IF(Seguimiento!A5="","",Seguimiento!B5)</f>
        <v/>
      </c>
      <c r="C4" s="15">
        <f>IF(Seguimiento!A5="","",Seguimiento!C5&amp;"")</f>
        <v/>
      </c>
      <c r="D4" s="15">
        <f>IF(Seguimiento!A5="","",Seguimiento!D5&amp;"")</f>
        <v/>
      </c>
      <c r="E4" s="15">
        <f>IF(Seguimiento!A5="","",Seguimiento!E5&amp;"")</f>
        <v/>
      </c>
      <c r="F4" s="15">
        <f>IF(Seguimiento!A5="","",Seguimiento!F5&amp;"")</f>
        <v/>
      </c>
      <c r="G4" s="15">
        <f>IF(Seguimiento!A5="","",Seguimiento!G5&amp;"")</f>
        <v/>
      </c>
      <c r="H4" s="15">
        <f>IF(Seguimiento!A5="","",Seguimiento!H5&amp;"")</f>
        <v/>
      </c>
      <c r="I4" s="15">
        <f>IF(Seguimiento!A5="","",Seguimiento!I5&amp;"")</f>
        <v/>
      </c>
      <c r="J4" s="15">
        <f>IF(Seguimiento!A5="","",Seguimiento!J5&amp;"")</f>
        <v/>
      </c>
      <c r="K4" s="15">
        <f>IF(Seguimiento!A5="","",Seguimiento!M5&amp;"")</f>
        <v/>
      </c>
      <c r="L4" s="15">
        <f>IF(Seguimiento!A5="","",Seguimiento!N5&amp;"")</f>
        <v/>
      </c>
      <c r="M4" s="16">
        <f>IF(Seguimiento!K5="","",Seguimiento!K5)</f>
        <v/>
      </c>
      <c r="N4" s="16">
        <f>IF(Seguimiento!L5="","",Seguimiento!L5)</f>
        <v/>
      </c>
      <c r="O4" s="15">
        <f>IF(Seguimiento!A5="","",Seguimiento!O5&amp;"")</f>
        <v/>
      </c>
      <c r="P4" s="15">
        <f>IF(Seguimiento!A5="","",Seguimiento!P5&amp;"")</f>
        <v/>
      </c>
      <c r="Q4" s="16">
        <f>IF(A4="","",IFERROR(LOOKUP(2,1/((Seguimiento!$R$1:$AM$1&lt;&gt;"")*(Seguimiento!$R5:$AM5&lt;&gt;"")),Seguimiento!$R$1:$AM$1),"Base"))</f>
        <v/>
      </c>
      <c r="R4" s="15">
        <f>IF(A4="","",IF(ISERROR(LOOKUP(2,1/((Seguimiento!$R$1:$AM$1&lt;&gt;"")*(Seguimiento!$R5:$AM5&lt;&gt;"")),Seguimiento!$R5:$AM5)),IF(Seguimiento!Q5="","",IF(ISNUMBER(Seguimiento!Q5),IF(Seguimiento!Q5&lt;=1,Seguimiento!Q5*100,Seguimiento!Q5),IFERROR(IF(VALUE(SUBSTITUTE(SUBSTITUTE(Seguimiento!Q5,"%",""),",","."))&lt;=1,VALUE(SUBSTITUTE(SUBSTITUTE(Seguimiento!Q5,"%",""),",","."))*100,VALUE(SUBSTITUTE(SUBSTITUTE(Seguimiento!Q5,"%",""),",","."))),""))),IF(ISNUMBER(LOOKUP(2,1/((Seguimiento!$R$1:$AM$1&lt;&gt;"")*(Seguimiento!$R5:$AM5&lt;&gt;"")),Seguimiento!$R5:$AM5)),IF(LOOKUP(2,1/((Seguimiento!$R$1:$AM$1&lt;&gt;"")*(Seguimiento!$R5:$AM5&lt;&gt;"")),Seguimiento!$R5:$AM5)&lt;=1,LOOKUP(2,1/((Seguimiento!$R$1:$AM$1&lt;&gt;"")*(Seguimiento!$R5:$AM5&lt;&gt;"")),Seguimiento!$R5:$AM5)*100,LOOKUP(2,1/((Seguimiento!$R$1:$AM$1&lt;&gt;"")*(Seguimiento!$R5:$AM5&lt;&gt;"")),Seguimiento!$R5:$AM5)),IFERROR(IF(VALUE(SUBSTITUTE(SUBSTITUTE(LOOKUP(2,1/((Seguimiento!$R$1:$AM$1&lt;&gt;"")*(Seguimiento!$R5:$AM5&lt;&gt;"")),Seguimiento!$R5:$AM5),"%",""),",","."))&lt;=1,VALUE(SUBSTITUTE(SUBSTITUTE(LOOKUP(2,1/((Seguimiento!$R$1:$AM$1&lt;&gt;"")*(Seguimiento!$R5:$AM5&lt;&gt;"")),Seguimiento!$R5:$AM5),"%",""),",","."))*100,VALUE(SUBSTITUTE(SUBSTITUTE(LOOKUP(2,1/((Seguimiento!$R$1:$AM$1&lt;&gt;"")*(Seguimiento!$R5:$AM5&lt;&gt;"")),Seguimiento!$R5:$AM5),"%",""),",","."))),""))))</f>
        <v/>
      </c>
      <c r="S4" s="15">
        <f>IF(OR(A4="",Q4="Base"),"",IFERROR(INDEX(Seguimiento!$R5:$AM5,MATCH(Q4,Seguimiento!$R$1:$AM$1,0)+1)&amp;"",""))</f>
        <v/>
      </c>
      <c r="T4" s="15">
        <f>IF(A4="","",TODAY()-Config!$B$2+1)</f>
        <v/>
      </c>
      <c r="U4" s="15">
        <f>IF(OR(A4="",N4=""),"",N4-TODAY())</f>
        <v/>
      </c>
      <c r="V4" s="15">
        <f>IF(A4="","",IF(AND(R4&lt;&gt;"",R4&gt;=100),"Completada",IF(N4="","Sin fecha límite",IF(TODAY()&gt;N4,"Fecha límite vencida",IF(AND(M4&lt;&gt;"",TODAY()&lt;M4),"Por iniciar","En plazo")))))</f>
        <v/>
      </c>
      <c r="W4" s="15">
        <f>IF(A4="","",IF(IFERROR(INDEX(Seguimiento!$R5:$AM5,MATCH(Config!$B$4,Seguimiento!$R$1:$AM$1,0)),"")="","No","Sí"))</f>
        <v/>
      </c>
      <c r="X4" s="15">
        <f>IF(A4="","",COUNTIF(Seguimiento!$R$1:$AM$1,"&lt;="&amp;Config!$B$4)-SUMPRODUCT((Seguimiento!$R$1:$AM$1&lt;&gt;"")*(Seguimiento!$R$1:$AM$1&lt;=Config!$B$4)*(Seguimiento!$R5:$AM5&lt;&gt;"")))</f>
        <v/>
      </c>
      <c r="Y4" s="15">
        <f>IF(ISNUMBER(SEARCH("Ruta de Vigilancia",C4)),COUNTIF(Hitos_RutaElNino!$C$2:$C$200,"Sí")&amp;" / "&amp;COUNTIF(Hitos_RutaElNino!$A$2:$A$200,"&lt;&gt;"),"")</f>
        <v/>
      </c>
      <c r="Z4" s="15">
        <f>IF(A4="","",IF(Seguimiento!Q5="","",IF(ISNUMBER(Seguimiento!Q5),IF(Seguimiento!Q5&lt;=1,Seguimiento!Q5*100,Seguimiento!Q5),IFERROR(IF(VALUE(SUBSTITUTE(SUBSTITUTE(Seguimiento!Q5,"%",""),",","."))&lt;=1,VALUE(SUBSTITUTE(SUBSTITUTE(Seguimiento!Q5,"%",""),",","."))*100,VALUE(SUBSTITUTE(SUBSTITUTE(Seguimiento!Q5,"%",""),",","."))),""))))</f>
        <v/>
      </c>
    </row>
    <row r="5">
      <c r="A5" s="15">
        <f>IF(Seguimiento!A6="","",Seguimiento!A6)</f>
        <v/>
      </c>
      <c r="B5" s="15">
        <f>IF(Seguimiento!A6="","",Seguimiento!B6)</f>
        <v/>
      </c>
      <c r="C5" s="15">
        <f>IF(Seguimiento!A6="","",Seguimiento!C6&amp;"")</f>
        <v/>
      </c>
      <c r="D5" s="15">
        <f>IF(Seguimiento!A6="","",Seguimiento!D6&amp;"")</f>
        <v/>
      </c>
      <c r="E5" s="15">
        <f>IF(Seguimiento!A6="","",Seguimiento!E6&amp;"")</f>
        <v/>
      </c>
      <c r="F5" s="15">
        <f>IF(Seguimiento!A6="","",Seguimiento!F6&amp;"")</f>
        <v/>
      </c>
      <c r="G5" s="15">
        <f>IF(Seguimiento!A6="","",Seguimiento!G6&amp;"")</f>
        <v/>
      </c>
      <c r="H5" s="15">
        <f>IF(Seguimiento!A6="","",Seguimiento!H6&amp;"")</f>
        <v/>
      </c>
      <c r="I5" s="15">
        <f>IF(Seguimiento!A6="","",Seguimiento!I6&amp;"")</f>
        <v/>
      </c>
      <c r="J5" s="15">
        <f>IF(Seguimiento!A6="","",Seguimiento!J6&amp;"")</f>
        <v/>
      </c>
      <c r="K5" s="15">
        <f>IF(Seguimiento!A6="","",Seguimiento!M6&amp;"")</f>
        <v/>
      </c>
      <c r="L5" s="15">
        <f>IF(Seguimiento!A6="","",Seguimiento!N6&amp;"")</f>
        <v/>
      </c>
      <c r="M5" s="16">
        <f>IF(Seguimiento!K6="","",Seguimiento!K6)</f>
        <v/>
      </c>
      <c r="N5" s="16">
        <f>IF(Seguimiento!L6="","",Seguimiento!L6)</f>
        <v/>
      </c>
      <c r="O5" s="15">
        <f>IF(Seguimiento!A6="","",Seguimiento!O6&amp;"")</f>
        <v/>
      </c>
      <c r="P5" s="15">
        <f>IF(Seguimiento!A6="","",Seguimiento!P6&amp;"")</f>
        <v/>
      </c>
      <c r="Q5" s="16">
        <f>IF(A5="","",IFERROR(LOOKUP(2,1/((Seguimiento!$R$1:$AM$1&lt;&gt;"")*(Seguimiento!$R6:$AM6&lt;&gt;"")),Seguimiento!$R$1:$AM$1),"Base"))</f>
        <v/>
      </c>
      <c r="R5" s="15">
        <f>IF(A5="","",IF(ISERROR(LOOKUP(2,1/((Seguimiento!$R$1:$AM$1&lt;&gt;"")*(Seguimiento!$R6:$AM6&lt;&gt;"")),Seguimiento!$R6:$AM6)),IF(Seguimiento!Q6="","",IF(ISNUMBER(Seguimiento!Q6),IF(Seguimiento!Q6&lt;=1,Seguimiento!Q6*100,Seguimiento!Q6),IFERROR(IF(VALUE(SUBSTITUTE(SUBSTITUTE(Seguimiento!Q6,"%",""),",","."))&lt;=1,VALUE(SUBSTITUTE(SUBSTITUTE(Seguimiento!Q6,"%",""),",","."))*100,VALUE(SUBSTITUTE(SUBSTITUTE(Seguimiento!Q6,"%",""),",","."))),""))),IF(ISNUMBER(LOOKUP(2,1/((Seguimiento!$R$1:$AM$1&lt;&gt;"")*(Seguimiento!$R6:$AM6&lt;&gt;"")),Seguimiento!$R6:$AM6)),IF(LOOKUP(2,1/((Seguimiento!$R$1:$AM$1&lt;&gt;"")*(Seguimiento!$R6:$AM6&lt;&gt;"")),Seguimiento!$R6:$AM6)&lt;=1,LOOKUP(2,1/((Seguimiento!$R$1:$AM$1&lt;&gt;"")*(Seguimiento!$R6:$AM6&lt;&gt;"")),Seguimiento!$R6:$AM6)*100,LOOKUP(2,1/((Seguimiento!$R$1:$AM$1&lt;&gt;"")*(Seguimiento!$R6:$AM6&lt;&gt;"")),Seguimiento!$R6:$AM6)),IFERROR(IF(VALUE(SUBSTITUTE(SUBSTITUTE(LOOKUP(2,1/((Seguimiento!$R$1:$AM$1&lt;&gt;"")*(Seguimiento!$R6:$AM6&lt;&gt;"")),Seguimiento!$R6:$AM6),"%",""),",","."))&lt;=1,VALUE(SUBSTITUTE(SUBSTITUTE(LOOKUP(2,1/((Seguimiento!$R$1:$AM$1&lt;&gt;"")*(Seguimiento!$R6:$AM6&lt;&gt;"")),Seguimiento!$R6:$AM6),"%",""),",","."))*100,VALUE(SUBSTITUTE(SUBSTITUTE(LOOKUP(2,1/((Seguimiento!$R$1:$AM$1&lt;&gt;"")*(Seguimiento!$R6:$AM6&lt;&gt;"")),Seguimiento!$R6:$AM6),"%",""),",","."))),""))))</f>
        <v/>
      </c>
      <c r="S5" s="15">
        <f>IF(OR(A5="",Q5="Base"),"",IFERROR(INDEX(Seguimiento!$R6:$AM6,MATCH(Q5,Seguimiento!$R$1:$AM$1,0)+1)&amp;"",""))</f>
        <v/>
      </c>
      <c r="T5" s="15">
        <f>IF(A5="","",TODAY()-Config!$B$2+1)</f>
        <v/>
      </c>
      <c r="U5" s="15">
        <f>IF(OR(A5="",N5=""),"",N5-TODAY())</f>
        <v/>
      </c>
      <c r="V5" s="15">
        <f>IF(A5="","",IF(AND(R5&lt;&gt;"",R5&gt;=100),"Completada",IF(N5="","Sin fecha límite",IF(TODAY()&gt;N5,"Fecha límite vencida",IF(AND(M5&lt;&gt;"",TODAY()&lt;M5),"Por iniciar","En plazo")))))</f>
        <v/>
      </c>
      <c r="W5" s="15">
        <f>IF(A5="","",IF(IFERROR(INDEX(Seguimiento!$R6:$AM6,MATCH(Config!$B$4,Seguimiento!$R$1:$AM$1,0)),"")="","No","Sí"))</f>
        <v/>
      </c>
      <c r="X5" s="15">
        <f>IF(A5="","",COUNTIF(Seguimiento!$R$1:$AM$1,"&lt;="&amp;Config!$B$4)-SUMPRODUCT((Seguimiento!$R$1:$AM$1&lt;&gt;"")*(Seguimiento!$R$1:$AM$1&lt;=Config!$B$4)*(Seguimiento!$R6:$AM6&lt;&gt;"")))</f>
        <v/>
      </c>
      <c r="Y5" s="15">
        <f>IF(ISNUMBER(SEARCH("Ruta de Vigilancia",C5)),COUNTIF(Hitos_RutaElNino!$C$2:$C$200,"Sí")&amp;" / "&amp;COUNTIF(Hitos_RutaElNino!$A$2:$A$200,"&lt;&gt;"),"")</f>
        <v/>
      </c>
      <c r="Z5" s="15">
        <f>IF(A5="","",IF(Seguimiento!Q6="","",IF(ISNUMBER(Seguimiento!Q6),IF(Seguimiento!Q6&lt;=1,Seguimiento!Q6*100,Seguimiento!Q6),IFERROR(IF(VALUE(SUBSTITUTE(SUBSTITUTE(Seguimiento!Q6,"%",""),",","."))&lt;=1,VALUE(SUBSTITUTE(SUBSTITUTE(Seguimiento!Q6,"%",""),",","."))*100,VALUE(SUBSTITUTE(SUBSTITUTE(Seguimiento!Q6,"%",""),",","."))),""))))</f>
        <v/>
      </c>
    </row>
    <row r="6">
      <c r="A6" s="15">
        <f>IF(Seguimiento!A7="","",Seguimiento!A7)</f>
        <v/>
      </c>
      <c r="B6" s="15">
        <f>IF(Seguimiento!A7="","",Seguimiento!B7)</f>
        <v/>
      </c>
      <c r="C6" s="15">
        <f>IF(Seguimiento!A7="","",Seguimiento!C7&amp;"")</f>
        <v/>
      </c>
      <c r="D6" s="15">
        <f>IF(Seguimiento!A7="","",Seguimiento!D7&amp;"")</f>
        <v/>
      </c>
      <c r="E6" s="15">
        <f>IF(Seguimiento!A7="","",Seguimiento!E7&amp;"")</f>
        <v/>
      </c>
      <c r="F6" s="15">
        <f>IF(Seguimiento!A7="","",Seguimiento!F7&amp;"")</f>
        <v/>
      </c>
      <c r="G6" s="15">
        <f>IF(Seguimiento!A7="","",Seguimiento!G7&amp;"")</f>
        <v/>
      </c>
      <c r="H6" s="15">
        <f>IF(Seguimiento!A7="","",Seguimiento!H7&amp;"")</f>
        <v/>
      </c>
      <c r="I6" s="15">
        <f>IF(Seguimiento!A7="","",Seguimiento!I7&amp;"")</f>
        <v/>
      </c>
      <c r="J6" s="15">
        <f>IF(Seguimiento!A7="","",Seguimiento!J7&amp;"")</f>
        <v/>
      </c>
      <c r="K6" s="15">
        <f>IF(Seguimiento!A7="","",Seguimiento!M7&amp;"")</f>
        <v/>
      </c>
      <c r="L6" s="15">
        <f>IF(Seguimiento!A7="","",Seguimiento!N7&amp;"")</f>
        <v/>
      </c>
      <c r="M6" s="16">
        <f>IF(Seguimiento!K7="","",Seguimiento!K7)</f>
        <v/>
      </c>
      <c r="N6" s="16">
        <f>IF(Seguimiento!L7="","",Seguimiento!L7)</f>
        <v/>
      </c>
      <c r="O6" s="15">
        <f>IF(Seguimiento!A7="","",Seguimiento!O7&amp;"")</f>
        <v/>
      </c>
      <c r="P6" s="15">
        <f>IF(Seguimiento!A7="","",Seguimiento!P7&amp;"")</f>
        <v/>
      </c>
      <c r="Q6" s="16">
        <f>IF(A6="","",IFERROR(LOOKUP(2,1/((Seguimiento!$R$1:$AM$1&lt;&gt;"")*(Seguimiento!$R7:$AM7&lt;&gt;"")),Seguimiento!$R$1:$AM$1),"Base"))</f>
        <v/>
      </c>
      <c r="R6" s="15">
        <f>IF(A6="","",IF(ISERROR(LOOKUP(2,1/((Seguimiento!$R$1:$AM$1&lt;&gt;"")*(Seguimiento!$R7:$AM7&lt;&gt;"")),Seguimiento!$R7:$AM7)),IF(Seguimiento!Q7="","",IF(ISNUMBER(Seguimiento!Q7),IF(Seguimiento!Q7&lt;=1,Seguimiento!Q7*100,Seguimiento!Q7),IFERROR(IF(VALUE(SUBSTITUTE(SUBSTITUTE(Seguimiento!Q7,"%",""),",","."))&lt;=1,VALUE(SUBSTITUTE(SUBSTITUTE(Seguimiento!Q7,"%",""),",","."))*100,VALUE(SUBSTITUTE(SUBSTITUTE(Seguimiento!Q7,"%",""),",","."))),""))),IF(ISNUMBER(LOOKUP(2,1/((Seguimiento!$R$1:$AM$1&lt;&gt;"")*(Seguimiento!$R7:$AM7&lt;&gt;"")),Seguimiento!$R7:$AM7)),IF(LOOKUP(2,1/((Seguimiento!$R$1:$AM$1&lt;&gt;"")*(Seguimiento!$R7:$AM7&lt;&gt;"")),Seguimiento!$R7:$AM7)&lt;=1,LOOKUP(2,1/((Seguimiento!$R$1:$AM$1&lt;&gt;"")*(Seguimiento!$R7:$AM7&lt;&gt;"")),Seguimiento!$R7:$AM7)*100,LOOKUP(2,1/((Seguimiento!$R$1:$AM$1&lt;&gt;"")*(Seguimiento!$R7:$AM7&lt;&gt;"")),Seguimiento!$R7:$AM7)),IFERROR(IF(VALUE(SUBSTITUTE(SUBSTITUTE(LOOKUP(2,1/((Seguimiento!$R$1:$AM$1&lt;&gt;"")*(Seguimiento!$R7:$AM7&lt;&gt;"")),Seguimiento!$R7:$AM7),"%",""),",","."))&lt;=1,VALUE(SUBSTITUTE(SUBSTITUTE(LOOKUP(2,1/((Seguimiento!$R$1:$AM$1&lt;&gt;"")*(Seguimiento!$R7:$AM7&lt;&gt;"")),Seguimiento!$R7:$AM7),"%",""),",","."))*100,VALUE(SUBSTITUTE(SUBSTITUTE(LOOKUP(2,1/((Seguimiento!$R$1:$AM$1&lt;&gt;"")*(Seguimiento!$R7:$AM7&lt;&gt;"")),Seguimiento!$R7:$AM7),"%",""),",","."))),""))))</f>
        <v/>
      </c>
      <c r="S6" s="15">
        <f>IF(OR(A6="",Q6="Base"),"",IFERROR(INDEX(Seguimiento!$R7:$AM7,MATCH(Q6,Seguimiento!$R$1:$AM$1,0)+1)&amp;"",""))</f>
        <v/>
      </c>
      <c r="T6" s="15">
        <f>IF(A6="","",TODAY()-Config!$B$2+1)</f>
        <v/>
      </c>
      <c r="U6" s="15">
        <f>IF(OR(A6="",N6=""),"",N6-TODAY())</f>
        <v/>
      </c>
      <c r="V6" s="15">
        <f>IF(A6="","",IF(AND(R6&lt;&gt;"",R6&gt;=100),"Completada",IF(N6="","Sin fecha límite",IF(TODAY()&gt;N6,"Fecha límite vencida",IF(AND(M6&lt;&gt;"",TODAY()&lt;M6),"Por iniciar","En plazo")))))</f>
        <v/>
      </c>
      <c r="W6" s="15">
        <f>IF(A6="","",IF(IFERROR(INDEX(Seguimiento!$R7:$AM7,MATCH(Config!$B$4,Seguimiento!$R$1:$AM$1,0)),"")="","No","Sí"))</f>
        <v/>
      </c>
      <c r="X6" s="15">
        <f>IF(A6="","",COUNTIF(Seguimiento!$R$1:$AM$1,"&lt;="&amp;Config!$B$4)-SUMPRODUCT((Seguimiento!$R$1:$AM$1&lt;&gt;"")*(Seguimiento!$R$1:$AM$1&lt;=Config!$B$4)*(Seguimiento!$R7:$AM7&lt;&gt;"")))</f>
        <v/>
      </c>
      <c r="Y6" s="15">
        <f>IF(ISNUMBER(SEARCH("Ruta de Vigilancia",C6)),COUNTIF(Hitos_RutaElNino!$C$2:$C$200,"Sí")&amp;" / "&amp;COUNTIF(Hitos_RutaElNino!$A$2:$A$200,"&lt;&gt;"),"")</f>
        <v/>
      </c>
      <c r="Z6" s="15">
        <f>IF(A6="","",IF(Seguimiento!Q7="","",IF(ISNUMBER(Seguimiento!Q7),IF(Seguimiento!Q7&lt;=1,Seguimiento!Q7*100,Seguimiento!Q7),IFERROR(IF(VALUE(SUBSTITUTE(SUBSTITUTE(Seguimiento!Q7,"%",""),",","."))&lt;=1,VALUE(SUBSTITUTE(SUBSTITUTE(Seguimiento!Q7,"%",""),",","."))*100,VALUE(SUBSTITUTE(SUBSTITUTE(Seguimiento!Q7,"%",""),",","."))),""))))</f>
        <v/>
      </c>
    </row>
    <row r="7">
      <c r="A7" s="15">
        <f>IF(Seguimiento!A8="","",Seguimiento!A8)</f>
        <v/>
      </c>
      <c r="B7" s="15">
        <f>IF(Seguimiento!A8="","",Seguimiento!B8)</f>
        <v/>
      </c>
      <c r="C7" s="15">
        <f>IF(Seguimiento!A8="","",Seguimiento!C8&amp;"")</f>
        <v/>
      </c>
      <c r="D7" s="15">
        <f>IF(Seguimiento!A8="","",Seguimiento!D8&amp;"")</f>
        <v/>
      </c>
      <c r="E7" s="15">
        <f>IF(Seguimiento!A8="","",Seguimiento!E8&amp;"")</f>
        <v/>
      </c>
      <c r="F7" s="15">
        <f>IF(Seguimiento!A8="","",Seguimiento!F8&amp;"")</f>
        <v/>
      </c>
      <c r="G7" s="15">
        <f>IF(Seguimiento!A8="","",Seguimiento!G8&amp;"")</f>
        <v/>
      </c>
      <c r="H7" s="15">
        <f>IF(Seguimiento!A8="","",Seguimiento!H8&amp;"")</f>
        <v/>
      </c>
      <c r="I7" s="15">
        <f>IF(Seguimiento!A8="","",Seguimiento!I8&amp;"")</f>
        <v/>
      </c>
      <c r="J7" s="15">
        <f>IF(Seguimiento!A8="","",Seguimiento!J8&amp;"")</f>
        <v/>
      </c>
      <c r="K7" s="15">
        <f>IF(Seguimiento!A8="","",Seguimiento!M8&amp;"")</f>
        <v/>
      </c>
      <c r="L7" s="15">
        <f>IF(Seguimiento!A8="","",Seguimiento!N8&amp;"")</f>
        <v/>
      </c>
      <c r="M7" s="16">
        <f>IF(Seguimiento!K8="","",Seguimiento!K8)</f>
        <v/>
      </c>
      <c r="N7" s="16">
        <f>IF(Seguimiento!L8="","",Seguimiento!L8)</f>
        <v/>
      </c>
      <c r="O7" s="15">
        <f>IF(Seguimiento!A8="","",Seguimiento!O8&amp;"")</f>
        <v/>
      </c>
      <c r="P7" s="15">
        <f>IF(Seguimiento!A8="","",Seguimiento!P8&amp;"")</f>
        <v/>
      </c>
      <c r="Q7" s="16">
        <f>IF(A7="","",IFERROR(LOOKUP(2,1/((Seguimiento!$R$1:$AM$1&lt;&gt;"")*(Seguimiento!$R8:$AM8&lt;&gt;"")),Seguimiento!$R$1:$AM$1),"Base"))</f>
        <v/>
      </c>
      <c r="R7" s="15">
        <f>IF(A7="","",IF(ISERROR(LOOKUP(2,1/((Seguimiento!$R$1:$AM$1&lt;&gt;"")*(Seguimiento!$R8:$AM8&lt;&gt;"")),Seguimiento!$R8:$AM8)),IF(Seguimiento!Q8="","",IF(ISNUMBER(Seguimiento!Q8),IF(Seguimiento!Q8&lt;=1,Seguimiento!Q8*100,Seguimiento!Q8),IFERROR(IF(VALUE(SUBSTITUTE(SUBSTITUTE(Seguimiento!Q8,"%",""),",","."))&lt;=1,VALUE(SUBSTITUTE(SUBSTITUTE(Seguimiento!Q8,"%",""),",","."))*100,VALUE(SUBSTITUTE(SUBSTITUTE(Seguimiento!Q8,"%",""),",","."))),""))),IF(ISNUMBER(LOOKUP(2,1/((Seguimiento!$R$1:$AM$1&lt;&gt;"")*(Seguimiento!$R8:$AM8&lt;&gt;"")),Seguimiento!$R8:$AM8)),IF(LOOKUP(2,1/((Seguimiento!$R$1:$AM$1&lt;&gt;"")*(Seguimiento!$R8:$AM8&lt;&gt;"")),Seguimiento!$R8:$AM8)&lt;=1,LOOKUP(2,1/((Seguimiento!$R$1:$AM$1&lt;&gt;"")*(Seguimiento!$R8:$AM8&lt;&gt;"")),Seguimiento!$R8:$AM8)*100,LOOKUP(2,1/((Seguimiento!$R$1:$AM$1&lt;&gt;"")*(Seguimiento!$R8:$AM8&lt;&gt;"")),Seguimiento!$R8:$AM8)),IFERROR(IF(VALUE(SUBSTITUTE(SUBSTITUTE(LOOKUP(2,1/((Seguimiento!$R$1:$AM$1&lt;&gt;"")*(Seguimiento!$R8:$AM8&lt;&gt;"")),Seguimiento!$R8:$AM8),"%",""),",","."))&lt;=1,VALUE(SUBSTITUTE(SUBSTITUTE(LOOKUP(2,1/((Seguimiento!$R$1:$AM$1&lt;&gt;"")*(Seguimiento!$R8:$AM8&lt;&gt;"")),Seguimiento!$R8:$AM8),"%",""),",","."))*100,VALUE(SUBSTITUTE(SUBSTITUTE(LOOKUP(2,1/((Seguimiento!$R$1:$AM$1&lt;&gt;"")*(Seguimiento!$R8:$AM8&lt;&gt;"")),Seguimiento!$R8:$AM8),"%",""),",","."))),""))))</f>
        <v/>
      </c>
      <c r="S7" s="15">
        <f>IF(OR(A7="",Q7="Base"),"",IFERROR(INDEX(Seguimiento!$R8:$AM8,MATCH(Q7,Seguimiento!$R$1:$AM$1,0)+1)&amp;"",""))</f>
        <v/>
      </c>
      <c r="T7" s="15">
        <f>IF(A7="","",TODAY()-Config!$B$2+1)</f>
        <v/>
      </c>
      <c r="U7" s="15">
        <f>IF(OR(A7="",N7=""),"",N7-TODAY())</f>
        <v/>
      </c>
      <c r="V7" s="15">
        <f>IF(A7="","",IF(AND(R7&lt;&gt;"",R7&gt;=100),"Completada",IF(N7="","Sin fecha límite",IF(TODAY()&gt;N7,"Fecha límite vencida",IF(AND(M7&lt;&gt;"",TODAY()&lt;M7),"Por iniciar","En plazo")))))</f>
        <v/>
      </c>
      <c r="W7" s="15">
        <f>IF(A7="","",IF(IFERROR(INDEX(Seguimiento!$R8:$AM8,MATCH(Config!$B$4,Seguimiento!$R$1:$AM$1,0)),"")="","No","Sí"))</f>
        <v/>
      </c>
      <c r="X7" s="15">
        <f>IF(A7="","",COUNTIF(Seguimiento!$R$1:$AM$1,"&lt;="&amp;Config!$B$4)-SUMPRODUCT((Seguimiento!$R$1:$AM$1&lt;&gt;"")*(Seguimiento!$R$1:$AM$1&lt;=Config!$B$4)*(Seguimiento!$R8:$AM8&lt;&gt;"")))</f>
        <v/>
      </c>
      <c r="Y7" s="15">
        <f>IF(ISNUMBER(SEARCH("Ruta de Vigilancia",C7)),COUNTIF(Hitos_RutaElNino!$C$2:$C$200,"Sí")&amp;" / "&amp;COUNTIF(Hitos_RutaElNino!$A$2:$A$200,"&lt;&gt;"),"")</f>
        <v/>
      </c>
      <c r="Z7" s="15">
        <f>IF(A7="","",IF(Seguimiento!Q8="","",IF(ISNUMBER(Seguimiento!Q8),IF(Seguimiento!Q8&lt;=1,Seguimiento!Q8*100,Seguimiento!Q8),IFERROR(IF(VALUE(SUBSTITUTE(SUBSTITUTE(Seguimiento!Q8,"%",""),",","."))&lt;=1,VALUE(SUBSTITUTE(SUBSTITUTE(Seguimiento!Q8,"%",""),",","."))*100,VALUE(SUBSTITUTE(SUBSTITUTE(Seguimiento!Q8,"%",""),",","."))),""))))</f>
        <v/>
      </c>
    </row>
    <row r="8">
      <c r="A8" s="15">
        <f>IF(Seguimiento!A9="","",Seguimiento!A9)</f>
        <v/>
      </c>
      <c r="B8" s="15">
        <f>IF(Seguimiento!A9="","",Seguimiento!B9)</f>
        <v/>
      </c>
      <c r="C8" s="15">
        <f>IF(Seguimiento!A9="","",Seguimiento!C9&amp;"")</f>
        <v/>
      </c>
      <c r="D8" s="15">
        <f>IF(Seguimiento!A9="","",Seguimiento!D9&amp;"")</f>
        <v/>
      </c>
      <c r="E8" s="15">
        <f>IF(Seguimiento!A9="","",Seguimiento!E9&amp;"")</f>
        <v/>
      </c>
      <c r="F8" s="15">
        <f>IF(Seguimiento!A9="","",Seguimiento!F9&amp;"")</f>
        <v/>
      </c>
      <c r="G8" s="15">
        <f>IF(Seguimiento!A9="","",Seguimiento!G9&amp;"")</f>
        <v/>
      </c>
      <c r="H8" s="15">
        <f>IF(Seguimiento!A9="","",Seguimiento!H9&amp;"")</f>
        <v/>
      </c>
      <c r="I8" s="15">
        <f>IF(Seguimiento!A9="","",Seguimiento!I9&amp;"")</f>
        <v/>
      </c>
      <c r="J8" s="15">
        <f>IF(Seguimiento!A9="","",Seguimiento!J9&amp;"")</f>
        <v/>
      </c>
      <c r="K8" s="15">
        <f>IF(Seguimiento!A9="","",Seguimiento!M9&amp;"")</f>
        <v/>
      </c>
      <c r="L8" s="15">
        <f>IF(Seguimiento!A9="","",Seguimiento!N9&amp;"")</f>
        <v/>
      </c>
      <c r="M8" s="16">
        <f>IF(Seguimiento!K9="","",Seguimiento!K9)</f>
        <v/>
      </c>
      <c r="N8" s="16">
        <f>IF(Seguimiento!L9="","",Seguimiento!L9)</f>
        <v/>
      </c>
      <c r="O8" s="15">
        <f>IF(Seguimiento!A9="","",Seguimiento!O9&amp;"")</f>
        <v/>
      </c>
      <c r="P8" s="15">
        <f>IF(Seguimiento!A9="","",Seguimiento!P9&amp;"")</f>
        <v/>
      </c>
      <c r="Q8" s="16">
        <f>IF(A8="","",IFERROR(LOOKUP(2,1/((Seguimiento!$R$1:$AM$1&lt;&gt;"")*(Seguimiento!$R9:$AM9&lt;&gt;"")),Seguimiento!$R$1:$AM$1),"Base"))</f>
        <v/>
      </c>
      <c r="R8" s="15">
        <f>IF(A8="","",IF(ISERROR(LOOKUP(2,1/((Seguimiento!$R$1:$AM$1&lt;&gt;"")*(Seguimiento!$R9:$AM9&lt;&gt;"")),Seguimiento!$R9:$AM9)),IF(Seguimiento!Q9="","",IF(ISNUMBER(Seguimiento!Q9),IF(Seguimiento!Q9&lt;=1,Seguimiento!Q9*100,Seguimiento!Q9),IFERROR(IF(VALUE(SUBSTITUTE(SUBSTITUTE(Seguimiento!Q9,"%",""),",","."))&lt;=1,VALUE(SUBSTITUTE(SUBSTITUTE(Seguimiento!Q9,"%",""),",","."))*100,VALUE(SUBSTITUTE(SUBSTITUTE(Seguimiento!Q9,"%",""),",","."))),""))),IF(ISNUMBER(LOOKUP(2,1/((Seguimiento!$R$1:$AM$1&lt;&gt;"")*(Seguimiento!$R9:$AM9&lt;&gt;"")),Seguimiento!$R9:$AM9)),IF(LOOKUP(2,1/((Seguimiento!$R$1:$AM$1&lt;&gt;"")*(Seguimiento!$R9:$AM9&lt;&gt;"")),Seguimiento!$R9:$AM9)&lt;=1,LOOKUP(2,1/((Seguimiento!$R$1:$AM$1&lt;&gt;"")*(Seguimiento!$R9:$AM9&lt;&gt;"")),Seguimiento!$R9:$AM9)*100,LOOKUP(2,1/((Seguimiento!$R$1:$AM$1&lt;&gt;"")*(Seguimiento!$R9:$AM9&lt;&gt;"")),Seguimiento!$R9:$AM9)),IFERROR(IF(VALUE(SUBSTITUTE(SUBSTITUTE(LOOKUP(2,1/((Seguimiento!$R$1:$AM$1&lt;&gt;"")*(Seguimiento!$R9:$AM9&lt;&gt;"")),Seguimiento!$R9:$AM9),"%",""),",","."))&lt;=1,VALUE(SUBSTITUTE(SUBSTITUTE(LOOKUP(2,1/((Seguimiento!$R$1:$AM$1&lt;&gt;"")*(Seguimiento!$R9:$AM9&lt;&gt;"")),Seguimiento!$R9:$AM9),"%",""),",","."))*100,VALUE(SUBSTITUTE(SUBSTITUTE(LOOKUP(2,1/((Seguimiento!$R$1:$AM$1&lt;&gt;"")*(Seguimiento!$R9:$AM9&lt;&gt;"")),Seguimiento!$R9:$AM9),"%",""),",","."))),""))))</f>
        <v/>
      </c>
      <c r="S8" s="15">
        <f>IF(OR(A8="",Q8="Base"),"",IFERROR(INDEX(Seguimiento!$R9:$AM9,MATCH(Q8,Seguimiento!$R$1:$AM$1,0)+1)&amp;"",""))</f>
        <v/>
      </c>
      <c r="T8" s="15">
        <f>IF(A8="","",TODAY()-Config!$B$2+1)</f>
        <v/>
      </c>
      <c r="U8" s="15">
        <f>IF(OR(A8="",N8=""),"",N8-TODAY())</f>
        <v/>
      </c>
      <c r="V8" s="15">
        <f>IF(A8="","",IF(AND(R8&lt;&gt;"",R8&gt;=100),"Completada",IF(N8="","Sin fecha límite",IF(TODAY()&gt;N8,"Fecha límite vencida",IF(AND(M8&lt;&gt;"",TODAY()&lt;M8),"Por iniciar","En plazo")))))</f>
        <v/>
      </c>
      <c r="W8" s="15">
        <f>IF(A8="","",IF(IFERROR(INDEX(Seguimiento!$R9:$AM9,MATCH(Config!$B$4,Seguimiento!$R$1:$AM$1,0)),"")="","No","Sí"))</f>
        <v/>
      </c>
      <c r="X8" s="15">
        <f>IF(A8="","",COUNTIF(Seguimiento!$R$1:$AM$1,"&lt;="&amp;Config!$B$4)-SUMPRODUCT((Seguimiento!$R$1:$AM$1&lt;&gt;"")*(Seguimiento!$R$1:$AM$1&lt;=Config!$B$4)*(Seguimiento!$R9:$AM9&lt;&gt;"")))</f>
        <v/>
      </c>
      <c r="Y8" s="15">
        <f>IF(ISNUMBER(SEARCH("Ruta de Vigilancia",C8)),COUNTIF(Hitos_RutaElNino!$C$2:$C$200,"Sí")&amp;" / "&amp;COUNTIF(Hitos_RutaElNino!$A$2:$A$200,"&lt;&gt;"),"")</f>
        <v/>
      </c>
      <c r="Z8" s="15">
        <f>IF(A8="","",IF(Seguimiento!Q9="","",IF(ISNUMBER(Seguimiento!Q9),IF(Seguimiento!Q9&lt;=1,Seguimiento!Q9*100,Seguimiento!Q9),IFERROR(IF(VALUE(SUBSTITUTE(SUBSTITUTE(Seguimiento!Q9,"%",""),",","."))&lt;=1,VALUE(SUBSTITUTE(SUBSTITUTE(Seguimiento!Q9,"%",""),",","."))*100,VALUE(SUBSTITUTE(SUBSTITUTE(Seguimiento!Q9,"%",""),",","."))),""))))</f>
        <v/>
      </c>
    </row>
    <row r="9">
      <c r="A9" s="15">
        <f>IF(Seguimiento!A10="","",Seguimiento!A10)</f>
        <v/>
      </c>
      <c r="B9" s="15">
        <f>IF(Seguimiento!A10="","",Seguimiento!B10)</f>
        <v/>
      </c>
      <c r="C9" s="15">
        <f>IF(Seguimiento!A10="","",Seguimiento!C10&amp;"")</f>
        <v/>
      </c>
      <c r="D9" s="15">
        <f>IF(Seguimiento!A10="","",Seguimiento!D10&amp;"")</f>
        <v/>
      </c>
      <c r="E9" s="15">
        <f>IF(Seguimiento!A10="","",Seguimiento!E10&amp;"")</f>
        <v/>
      </c>
      <c r="F9" s="15">
        <f>IF(Seguimiento!A10="","",Seguimiento!F10&amp;"")</f>
        <v/>
      </c>
      <c r="G9" s="15">
        <f>IF(Seguimiento!A10="","",Seguimiento!G10&amp;"")</f>
        <v/>
      </c>
      <c r="H9" s="15">
        <f>IF(Seguimiento!A10="","",Seguimiento!H10&amp;"")</f>
        <v/>
      </c>
      <c r="I9" s="15">
        <f>IF(Seguimiento!A10="","",Seguimiento!I10&amp;"")</f>
        <v/>
      </c>
      <c r="J9" s="15">
        <f>IF(Seguimiento!A10="","",Seguimiento!J10&amp;"")</f>
        <v/>
      </c>
      <c r="K9" s="15">
        <f>IF(Seguimiento!A10="","",Seguimiento!M10&amp;"")</f>
        <v/>
      </c>
      <c r="L9" s="15">
        <f>IF(Seguimiento!A10="","",Seguimiento!N10&amp;"")</f>
        <v/>
      </c>
      <c r="M9" s="16">
        <f>IF(Seguimiento!K10="","",Seguimiento!K10)</f>
        <v/>
      </c>
      <c r="N9" s="16">
        <f>IF(Seguimiento!L10="","",Seguimiento!L10)</f>
        <v/>
      </c>
      <c r="O9" s="15">
        <f>IF(Seguimiento!A10="","",Seguimiento!O10&amp;"")</f>
        <v/>
      </c>
      <c r="P9" s="15">
        <f>IF(Seguimiento!A10="","",Seguimiento!P10&amp;"")</f>
        <v/>
      </c>
      <c r="Q9" s="16">
        <f>IF(A9="","",IFERROR(LOOKUP(2,1/((Seguimiento!$R$1:$AM$1&lt;&gt;"")*(Seguimiento!$R10:$AM10&lt;&gt;"")),Seguimiento!$R$1:$AM$1),"Base"))</f>
        <v/>
      </c>
      <c r="R9" s="15">
        <f>IF(A9="","",IF(ISERROR(LOOKUP(2,1/((Seguimiento!$R$1:$AM$1&lt;&gt;"")*(Seguimiento!$R10:$AM10&lt;&gt;"")),Seguimiento!$R10:$AM10)),IF(Seguimiento!Q10="","",IF(ISNUMBER(Seguimiento!Q10),IF(Seguimiento!Q10&lt;=1,Seguimiento!Q10*100,Seguimiento!Q10),IFERROR(IF(VALUE(SUBSTITUTE(SUBSTITUTE(Seguimiento!Q10,"%",""),",","."))&lt;=1,VALUE(SUBSTITUTE(SUBSTITUTE(Seguimiento!Q10,"%",""),",","."))*100,VALUE(SUBSTITUTE(SUBSTITUTE(Seguimiento!Q10,"%",""),",","."))),""))),IF(ISNUMBER(LOOKUP(2,1/((Seguimiento!$R$1:$AM$1&lt;&gt;"")*(Seguimiento!$R10:$AM10&lt;&gt;"")),Seguimiento!$R10:$AM10)),IF(LOOKUP(2,1/((Seguimiento!$R$1:$AM$1&lt;&gt;"")*(Seguimiento!$R10:$AM10&lt;&gt;"")),Seguimiento!$R10:$AM10)&lt;=1,LOOKUP(2,1/((Seguimiento!$R$1:$AM$1&lt;&gt;"")*(Seguimiento!$R10:$AM10&lt;&gt;"")),Seguimiento!$R10:$AM10)*100,LOOKUP(2,1/((Seguimiento!$R$1:$AM$1&lt;&gt;"")*(Seguimiento!$R10:$AM10&lt;&gt;"")),Seguimiento!$R10:$AM10)),IFERROR(IF(VALUE(SUBSTITUTE(SUBSTITUTE(LOOKUP(2,1/((Seguimiento!$R$1:$AM$1&lt;&gt;"")*(Seguimiento!$R10:$AM10&lt;&gt;"")),Seguimiento!$R10:$AM10),"%",""),",","."))&lt;=1,VALUE(SUBSTITUTE(SUBSTITUTE(LOOKUP(2,1/((Seguimiento!$R$1:$AM$1&lt;&gt;"")*(Seguimiento!$R10:$AM10&lt;&gt;"")),Seguimiento!$R10:$AM10),"%",""),",","."))*100,VALUE(SUBSTITUTE(SUBSTITUTE(LOOKUP(2,1/((Seguimiento!$R$1:$AM$1&lt;&gt;"")*(Seguimiento!$R10:$AM10&lt;&gt;"")),Seguimiento!$R10:$AM10),"%",""),",","."))),""))))</f>
        <v/>
      </c>
      <c r="S9" s="15">
        <f>IF(OR(A9="",Q9="Base"),"",IFERROR(INDEX(Seguimiento!$R10:$AM10,MATCH(Q9,Seguimiento!$R$1:$AM$1,0)+1)&amp;"",""))</f>
        <v/>
      </c>
      <c r="T9" s="15">
        <f>IF(A9="","",TODAY()-Config!$B$2+1)</f>
        <v/>
      </c>
      <c r="U9" s="15">
        <f>IF(OR(A9="",N9=""),"",N9-TODAY())</f>
        <v/>
      </c>
      <c r="V9" s="15">
        <f>IF(A9="","",IF(AND(R9&lt;&gt;"",R9&gt;=100),"Completada",IF(N9="","Sin fecha límite",IF(TODAY()&gt;N9,"Fecha límite vencida",IF(AND(M9&lt;&gt;"",TODAY()&lt;M9),"Por iniciar","En plazo")))))</f>
        <v/>
      </c>
      <c r="W9" s="15">
        <f>IF(A9="","",IF(IFERROR(INDEX(Seguimiento!$R10:$AM10,MATCH(Config!$B$4,Seguimiento!$R$1:$AM$1,0)),"")="","No","Sí"))</f>
        <v/>
      </c>
      <c r="X9" s="15">
        <f>IF(A9="","",COUNTIF(Seguimiento!$R$1:$AM$1,"&lt;="&amp;Config!$B$4)-SUMPRODUCT((Seguimiento!$R$1:$AM$1&lt;&gt;"")*(Seguimiento!$R$1:$AM$1&lt;=Config!$B$4)*(Seguimiento!$R10:$AM10&lt;&gt;"")))</f>
        <v/>
      </c>
      <c r="Y9" s="15">
        <f>IF(ISNUMBER(SEARCH("Ruta de Vigilancia",C9)),COUNTIF(Hitos_RutaElNino!$C$2:$C$200,"Sí")&amp;" / "&amp;COUNTIF(Hitos_RutaElNino!$A$2:$A$200,"&lt;&gt;"),"")</f>
        <v/>
      </c>
      <c r="Z9" s="15">
        <f>IF(A9="","",IF(Seguimiento!Q10="","",IF(ISNUMBER(Seguimiento!Q10),IF(Seguimiento!Q10&lt;=1,Seguimiento!Q10*100,Seguimiento!Q10),IFERROR(IF(VALUE(SUBSTITUTE(SUBSTITUTE(Seguimiento!Q10,"%",""),",","."))&lt;=1,VALUE(SUBSTITUTE(SUBSTITUTE(Seguimiento!Q10,"%",""),",","."))*100,VALUE(SUBSTITUTE(SUBSTITUTE(Seguimiento!Q10,"%",""),",","."))),""))))</f>
        <v/>
      </c>
    </row>
    <row r="10">
      <c r="A10" s="15">
        <f>IF(Seguimiento!A11="","",Seguimiento!A11)</f>
        <v/>
      </c>
      <c r="B10" s="15">
        <f>IF(Seguimiento!A11="","",Seguimiento!B11)</f>
        <v/>
      </c>
      <c r="C10" s="15">
        <f>IF(Seguimiento!A11="","",Seguimiento!C11&amp;"")</f>
        <v/>
      </c>
      <c r="D10" s="15">
        <f>IF(Seguimiento!A11="","",Seguimiento!D11&amp;"")</f>
        <v/>
      </c>
      <c r="E10" s="15">
        <f>IF(Seguimiento!A11="","",Seguimiento!E11&amp;"")</f>
        <v/>
      </c>
      <c r="F10" s="15">
        <f>IF(Seguimiento!A11="","",Seguimiento!F11&amp;"")</f>
        <v/>
      </c>
      <c r="G10" s="15">
        <f>IF(Seguimiento!A11="","",Seguimiento!G11&amp;"")</f>
        <v/>
      </c>
      <c r="H10" s="15">
        <f>IF(Seguimiento!A11="","",Seguimiento!H11&amp;"")</f>
        <v/>
      </c>
      <c r="I10" s="15">
        <f>IF(Seguimiento!A11="","",Seguimiento!I11&amp;"")</f>
        <v/>
      </c>
      <c r="J10" s="15">
        <f>IF(Seguimiento!A11="","",Seguimiento!J11&amp;"")</f>
        <v/>
      </c>
      <c r="K10" s="15">
        <f>IF(Seguimiento!A11="","",Seguimiento!M11&amp;"")</f>
        <v/>
      </c>
      <c r="L10" s="15">
        <f>IF(Seguimiento!A11="","",Seguimiento!N11&amp;"")</f>
        <v/>
      </c>
      <c r="M10" s="16">
        <f>IF(Seguimiento!K11="","",Seguimiento!K11)</f>
        <v/>
      </c>
      <c r="N10" s="16">
        <f>IF(Seguimiento!L11="","",Seguimiento!L11)</f>
        <v/>
      </c>
      <c r="O10" s="15">
        <f>IF(Seguimiento!A11="","",Seguimiento!O11&amp;"")</f>
        <v/>
      </c>
      <c r="P10" s="15">
        <f>IF(Seguimiento!A11="","",Seguimiento!P11&amp;"")</f>
        <v/>
      </c>
      <c r="Q10" s="16">
        <f>IF(A10="","",IFERROR(LOOKUP(2,1/((Seguimiento!$R$1:$AM$1&lt;&gt;"")*(Seguimiento!$R11:$AM11&lt;&gt;"")),Seguimiento!$R$1:$AM$1),"Base"))</f>
        <v/>
      </c>
      <c r="R10" s="15">
        <f>IF(A10="","",IF(ISERROR(LOOKUP(2,1/((Seguimiento!$R$1:$AM$1&lt;&gt;"")*(Seguimiento!$R11:$AM11&lt;&gt;"")),Seguimiento!$R11:$AM11)),IF(Seguimiento!Q11="","",IF(ISNUMBER(Seguimiento!Q11),IF(Seguimiento!Q11&lt;=1,Seguimiento!Q11*100,Seguimiento!Q11),IFERROR(IF(VALUE(SUBSTITUTE(SUBSTITUTE(Seguimiento!Q11,"%",""),",","."))&lt;=1,VALUE(SUBSTITUTE(SUBSTITUTE(Seguimiento!Q11,"%",""),",","."))*100,VALUE(SUBSTITUTE(SUBSTITUTE(Seguimiento!Q11,"%",""),",","."))),""))),IF(ISNUMBER(LOOKUP(2,1/((Seguimiento!$R$1:$AM$1&lt;&gt;"")*(Seguimiento!$R11:$AM11&lt;&gt;"")),Seguimiento!$R11:$AM11)),IF(LOOKUP(2,1/((Seguimiento!$R$1:$AM$1&lt;&gt;"")*(Seguimiento!$R11:$AM11&lt;&gt;"")),Seguimiento!$R11:$AM11)&lt;=1,LOOKUP(2,1/((Seguimiento!$R$1:$AM$1&lt;&gt;"")*(Seguimiento!$R11:$AM11&lt;&gt;"")),Seguimiento!$R11:$AM11)*100,LOOKUP(2,1/((Seguimiento!$R$1:$AM$1&lt;&gt;"")*(Seguimiento!$R11:$AM11&lt;&gt;"")),Seguimiento!$R11:$AM11)),IFERROR(IF(VALUE(SUBSTITUTE(SUBSTITUTE(LOOKUP(2,1/((Seguimiento!$R$1:$AM$1&lt;&gt;"")*(Seguimiento!$R11:$AM11&lt;&gt;"")),Seguimiento!$R11:$AM11),"%",""),",","."))&lt;=1,VALUE(SUBSTITUTE(SUBSTITUTE(LOOKUP(2,1/((Seguimiento!$R$1:$AM$1&lt;&gt;"")*(Seguimiento!$R11:$AM11&lt;&gt;"")),Seguimiento!$R11:$AM11),"%",""),",","."))*100,VALUE(SUBSTITUTE(SUBSTITUTE(LOOKUP(2,1/((Seguimiento!$R$1:$AM$1&lt;&gt;"")*(Seguimiento!$R11:$AM11&lt;&gt;"")),Seguimiento!$R11:$AM11),"%",""),",","."))),""))))</f>
        <v/>
      </c>
      <c r="S10" s="15">
        <f>IF(OR(A10="",Q10="Base"),"",IFERROR(INDEX(Seguimiento!$R11:$AM11,MATCH(Q10,Seguimiento!$R$1:$AM$1,0)+1)&amp;"",""))</f>
        <v/>
      </c>
      <c r="T10" s="15">
        <f>IF(A10="","",TODAY()-Config!$B$2+1)</f>
        <v/>
      </c>
      <c r="U10" s="15">
        <f>IF(OR(A10="",N10=""),"",N10-TODAY())</f>
        <v/>
      </c>
      <c r="V10" s="15">
        <f>IF(A10="","",IF(AND(R10&lt;&gt;"",R10&gt;=100),"Completada",IF(N10="","Sin fecha límite",IF(TODAY()&gt;N10,"Fecha límite vencida",IF(AND(M10&lt;&gt;"",TODAY()&lt;M10),"Por iniciar","En plazo")))))</f>
        <v/>
      </c>
      <c r="W10" s="15">
        <f>IF(A10="","",IF(IFERROR(INDEX(Seguimiento!$R11:$AM11,MATCH(Config!$B$4,Seguimiento!$R$1:$AM$1,0)),"")="","No","Sí"))</f>
        <v/>
      </c>
      <c r="X10" s="15">
        <f>IF(A10="","",COUNTIF(Seguimiento!$R$1:$AM$1,"&lt;="&amp;Config!$B$4)-SUMPRODUCT((Seguimiento!$R$1:$AM$1&lt;&gt;"")*(Seguimiento!$R$1:$AM$1&lt;=Config!$B$4)*(Seguimiento!$R11:$AM11&lt;&gt;"")))</f>
        <v/>
      </c>
      <c r="Y10" s="15">
        <f>IF(ISNUMBER(SEARCH("Ruta de Vigilancia",C10)),COUNTIF(Hitos_RutaElNino!$C$2:$C$200,"Sí")&amp;" / "&amp;COUNTIF(Hitos_RutaElNino!$A$2:$A$200,"&lt;&gt;"),"")</f>
        <v/>
      </c>
      <c r="Z10" s="15">
        <f>IF(A10="","",IF(Seguimiento!Q11="","",IF(ISNUMBER(Seguimiento!Q11),IF(Seguimiento!Q11&lt;=1,Seguimiento!Q11*100,Seguimiento!Q11),IFERROR(IF(VALUE(SUBSTITUTE(SUBSTITUTE(Seguimiento!Q11,"%",""),",","."))&lt;=1,VALUE(SUBSTITUTE(SUBSTITUTE(Seguimiento!Q11,"%",""),",","."))*100,VALUE(SUBSTITUTE(SUBSTITUTE(Seguimiento!Q11,"%",""),",","."))),""))))</f>
        <v/>
      </c>
    </row>
    <row r="11">
      <c r="A11" s="15">
        <f>IF(Seguimiento!A12="","",Seguimiento!A12)</f>
        <v/>
      </c>
      <c r="B11" s="15">
        <f>IF(Seguimiento!A12="","",Seguimiento!B12)</f>
        <v/>
      </c>
      <c r="C11" s="15">
        <f>IF(Seguimiento!A12="","",Seguimiento!C12&amp;"")</f>
        <v/>
      </c>
      <c r="D11" s="15">
        <f>IF(Seguimiento!A12="","",Seguimiento!D12&amp;"")</f>
        <v/>
      </c>
      <c r="E11" s="15">
        <f>IF(Seguimiento!A12="","",Seguimiento!E12&amp;"")</f>
        <v/>
      </c>
      <c r="F11" s="15">
        <f>IF(Seguimiento!A12="","",Seguimiento!F12&amp;"")</f>
        <v/>
      </c>
      <c r="G11" s="15">
        <f>IF(Seguimiento!A12="","",Seguimiento!G12&amp;"")</f>
        <v/>
      </c>
      <c r="H11" s="15">
        <f>IF(Seguimiento!A12="","",Seguimiento!H12&amp;"")</f>
        <v/>
      </c>
      <c r="I11" s="15">
        <f>IF(Seguimiento!A12="","",Seguimiento!I12&amp;"")</f>
        <v/>
      </c>
      <c r="J11" s="15">
        <f>IF(Seguimiento!A12="","",Seguimiento!J12&amp;"")</f>
        <v/>
      </c>
      <c r="K11" s="15">
        <f>IF(Seguimiento!A12="","",Seguimiento!M12&amp;"")</f>
        <v/>
      </c>
      <c r="L11" s="15">
        <f>IF(Seguimiento!A12="","",Seguimiento!N12&amp;"")</f>
        <v/>
      </c>
      <c r="M11" s="16">
        <f>IF(Seguimiento!K12="","",Seguimiento!K12)</f>
        <v/>
      </c>
      <c r="N11" s="16">
        <f>IF(Seguimiento!L12="","",Seguimiento!L12)</f>
        <v/>
      </c>
      <c r="O11" s="15">
        <f>IF(Seguimiento!A12="","",Seguimiento!O12&amp;"")</f>
        <v/>
      </c>
      <c r="P11" s="15">
        <f>IF(Seguimiento!A12="","",Seguimiento!P12&amp;"")</f>
        <v/>
      </c>
      <c r="Q11" s="16">
        <f>IF(A11="","",IFERROR(LOOKUP(2,1/((Seguimiento!$R$1:$AM$1&lt;&gt;"")*(Seguimiento!$R12:$AM12&lt;&gt;"")),Seguimiento!$R$1:$AM$1),"Base"))</f>
        <v/>
      </c>
      <c r="R11" s="15">
        <f>IF(A11="","",IF(ISERROR(LOOKUP(2,1/((Seguimiento!$R$1:$AM$1&lt;&gt;"")*(Seguimiento!$R12:$AM12&lt;&gt;"")),Seguimiento!$R12:$AM12)),IF(Seguimiento!Q12="","",IF(ISNUMBER(Seguimiento!Q12),IF(Seguimiento!Q12&lt;=1,Seguimiento!Q12*100,Seguimiento!Q12),IFERROR(IF(VALUE(SUBSTITUTE(SUBSTITUTE(Seguimiento!Q12,"%",""),",","."))&lt;=1,VALUE(SUBSTITUTE(SUBSTITUTE(Seguimiento!Q12,"%",""),",","."))*100,VALUE(SUBSTITUTE(SUBSTITUTE(Seguimiento!Q12,"%",""),",","."))),""))),IF(ISNUMBER(LOOKUP(2,1/((Seguimiento!$R$1:$AM$1&lt;&gt;"")*(Seguimiento!$R12:$AM12&lt;&gt;"")),Seguimiento!$R12:$AM12)),IF(LOOKUP(2,1/((Seguimiento!$R$1:$AM$1&lt;&gt;"")*(Seguimiento!$R12:$AM12&lt;&gt;"")),Seguimiento!$R12:$AM12)&lt;=1,LOOKUP(2,1/((Seguimiento!$R$1:$AM$1&lt;&gt;"")*(Seguimiento!$R12:$AM12&lt;&gt;"")),Seguimiento!$R12:$AM12)*100,LOOKUP(2,1/((Seguimiento!$R$1:$AM$1&lt;&gt;"")*(Seguimiento!$R12:$AM12&lt;&gt;"")),Seguimiento!$R12:$AM12)),IFERROR(IF(VALUE(SUBSTITUTE(SUBSTITUTE(LOOKUP(2,1/((Seguimiento!$R$1:$AM$1&lt;&gt;"")*(Seguimiento!$R12:$AM12&lt;&gt;"")),Seguimiento!$R12:$AM12),"%",""),",","."))&lt;=1,VALUE(SUBSTITUTE(SUBSTITUTE(LOOKUP(2,1/((Seguimiento!$R$1:$AM$1&lt;&gt;"")*(Seguimiento!$R12:$AM12&lt;&gt;"")),Seguimiento!$R12:$AM12),"%",""),",","."))*100,VALUE(SUBSTITUTE(SUBSTITUTE(LOOKUP(2,1/((Seguimiento!$R$1:$AM$1&lt;&gt;"")*(Seguimiento!$R12:$AM12&lt;&gt;"")),Seguimiento!$R12:$AM12),"%",""),",","."))),""))))</f>
        <v/>
      </c>
      <c r="S11" s="15">
        <f>IF(OR(A11="",Q11="Base"),"",IFERROR(INDEX(Seguimiento!$R12:$AM12,MATCH(Q11,Seguimiento!$R$1:$AM$1,0)+1)&amp;"",""))</f>
        <v/>
      </c>
      <c r="T11" s="15">
        <f>IF(A11="","",TODAY()-Config!$B$2+1)</f>
        <v/>
      </c>
      <c r="U11" s="15">
        <f>IF(OR(A11="",N11=""),"",N11-TODAY())</f>
        <v/>
      </c>
      <c r="V11" s="15">
        <f>IF(A11="","",IF(AND(R11&lt;&gt;"",R11&gt;=100),"Completada",IF(N11="","Sin fecha límite",IF(TODAY()&gt;N11,"Fecha límite vencida",IF(AND(M11&lt;&gt;"",TODAY()&lt;M11),"Por iniciar","En plazo")))))</f>
        <v/>
      </c>
      <c r="W11" s="15">
        <f>IF(A11="","",IF(IFERROR(INDEX(Seguimiento!$R12:$AM12,MATCH(Config!$B$4,Seguimiento!$R$1:$AM$1,0)),"")="","No","Sí"))</f>
        <v/>
      </c>
      <c r="X11" s="15">
        <f>IF(A11="","",COUNTIF(Seguimiento!$R$1:$AM$1,"&lt;="&amp;Config!$B$4)-SUMPRODUCT((Seguimiento!$R$1:$AM$1&lt;&gt;"")*(Seguimiento!$R$1:$AM$1&lt;=Config!$B$4)*(Seguimiento!$R12:$AM12&lt;&gt;"")))</f>
        <v/>
      </c>
      <c r="Y11" s="15">
        <f>IF(ISNUMBER(SEARCH("Ruta de Vigilancia",C11)),COUNTIF(Hitos_RutaElNino!$C$2:$C$200,"Sí")&amp;" / "&amp;COUNTIF(Hitos_RutaElNino!$A$2:$A$200,"&lt;&gt;"),"")</f>
        <v/>
      </c>
      <c r="Z11" s="15">
        <f>IF(A11="","",IF(Seguimiento!Q12="","",IF(ISNUMBER(Seguimiento!Q12),IF(Seguimiento!Q12&lt;=1,Seguimiento!Q12*100,Seguimiento!Q12),IFERROR(IF(VALUE(SUBSTITUTE(SUBSTITUTE(Seguimiento!Q12,"%",""),",","."))&lt;=1,VALUE(SUBSTITUTE(SUBSTITUTE(Seguimiento!Q12,"%",""),",","."))*100,VALUE(SUBSTITUTE(SUBSTITUTE(Seguimiento!Q12,"%",""),",","."))),""))))</f>
        <v/>
      </c>
    </row>
    <row r="12">
      <c r="A12" s="15">
        <f>IF(Seguimiento!A13="","",Seguimiento!A13)</f>
        <v/>
      </c>
      <c r="B12" s="15">
        <f>IF(Seguimiento!A13="","",Seguimiento!B13)</f>
        <v/>
      </c>
      <c r="C12" s="15">
        <f>IF(Seguimiento!A13="","",Seguimiento!C13&amp;"")</f>
        <v/>
      </c>
      <c r="D12" s="15">
        <f>IF(Seguimiento!A13="","",Seguimiento!D13&amp;"")</f>
        <v/>
      </c>
      <c r="E12" s="15">
        <f>IF(Seguimiento!A13="","",Seguimiento!E13&amp;"")</f>
        <v/>
      </c>
      <c r="F12" s="15">
        <f>IF(Seguimiento!A13="","",Seguimiento!F13&amp;"")</f>
        <v/>
      </c>
      <c r="G12" s="15">
        <f>IF(Seguimiento!A13="","",Seguimiento!G13&amp;"")</f>
        <v/>
      </c>
      <c r="H12" s="15">
        <f>IF(Seguimiento!A13="","",Seguimiento!H13&amp;"")</f>
        <v/>
      </c>
      <c r="I12" s="15">
        <f>IF(Seguimiento!A13="","",Seguimiento!I13&amp;"")</f>
        <v/>
      </c>
      <c r="J12" s="15">
        <f>IF(Seguimiento!A13="","",Seguimiento!J13&amp;"")</f>
        <v/>
      </c>
      <c r="K12" s="15">
        <f>IF(Seguimiento!A13="","",Seguimiento!M13&amp;"")</f>
        <v/>
      </c>
      <c r="L12" s="15">
        <f>IF(Seguimiento!A13="","",Seguimiento!N13&amp;"")</f>
        <v/>
      </c>
      <c r="M12" s="16">
        <f>IF(Seguimiento!K13="","",Seguimiento!K13)</f>
        <v/>
      </c>
      <c r="N12" s="16">
        <f>IF(Seguimiento!L13="","",Seguimiento!L13)</f>
        <v/>
      </c>
      <c r="O12" s="15">
        <f>IF(Seguimiento!A13="","",Seguimiento!O13&amp;"")</f>
        <v/>
      </c>
      <c r="P12" s="15">
        <f>IF(Seguimiento!A13="","",Seguimiento!P13&amp;"")</f>
        <v/>
      </c>
      <c r="Q12" s="16">
        <f>IF(A12="","",IFERROR(LOOKUP(2,1/((Seguimiento!$R$1:$AM$1&lt;&gt;"")*(Seguimiento!$R13:$AM13&lt;&gt;"")),Seguimiento!$R$1:$AM$1),"Base"))</f>
        <v/>
      </c>
      <c r="R12" s="15">
        <f>IF(A12="","",IF(ISERROR(LOOKUP(2,1/((Seguimiento!$R$1:$AM$1&lt;&gt;"")*(Seguimiento!$R13:$AM13&lt;&gt;"")),Seguimiento!$R13:$AM13)),IF(Seguimiento!Q13="","",IF(ISNUMBER(Seguimiento!Q13),IF(Seguimiento!Q13&lt;=1,Seguimiento!Q13*100,Seguimiento!Q13),IFERROR(IF(VALUE(SUBSTITUTE(SUBSTITUTE(Seguimiento!Q13,"%",""),",","."))&lt;=1,VALUE(SUBSTITUTE(SUBSTITUTE(Seguimiento!Q13,"%",""),",","."))*100,VALUE(SUBSTITUTE(SUBSTITUTE(Seguimiento!Q13,"%",""),",","."))),""))),IF(ISNUMBER(LOOKUP(2,1/((Seguimiento!$R$1:$AM$1&lt;&gt;"")*(Seguimiento!$R13:$AM13&lt;&gt;"")),Seguimiento!$R13:$AM13)),IF(LOOKUP(2,1/((Seguimiento!$R$1:$AM$1&lt;&gt;"")*(Seguimiento!$R13:$AM13&lt;&gt;"")),Seguimiento!$R13:$AM13)&lt;=1,LOOKUP(2,1/((Seguimiento!$R$1:$AM$1&lt;&gt;"")*(Seguimiento!$R13:$AM13&lt;&gt;"")),Seguimiento!$R13:$AM13)*100,LOOKUP(2,1/((Seguimiento!$R$1:$AM$1&lt;&gt;"")*(Seguimiento!$R13:$AM13&lt;&gt;"")),Seguimiento!$R13:$AM13)),IFERROR(IF(VALUE(SUBSTITUTE(SUBSTITUTE(LOOKUP(2,1/((Seguimiento!$R$1:$AM$1&lt;&gt;"")*(Seguimiento!$R13:$AM13&lt;&gt;"")),Seguimiento!$R13:$AM13),"%",""),",","."))&lt;=1,VALUE(SUBSTITUTE(SUBSTITUTE(LOOKUP(2,1/((Seguimiento!$R$1:$AM$1&lt;&gt;"")*(Seguimiento!$R13:$AM13&lt;&gt;"")),Seguimiento!$R13:$AM13),"%",""),",","."))*100,VALUE(SUBSTITUTE(SUBSTITUTE(LOOKUP(2,1/((Seguimiento!$R$1:$AM$1&lt;&gt;"")*(Seguimiento!$R13:$AM13&lt;&gt;"")),Seguimiento!$R13:$AM13),"%",""),",","."))),""))))</f>
        <v/>
      </c>
      <c r="S12" s="15">
        <f>IF(OR(A12="",Q12="Base"),"",IFERROR(INDEX(Seguimiento!$R13:$AM13,MATCH(Q12,Seguimiento!$R$1:$AM$1,0)+1)&amp;"",""))</f>
        <v/>
      </c>
      <c r="T12" s="15">
        <f>IF(A12="","",TODAY()-Config!$B$2+1)</f>
        <v/>
      </c>
      <c r="U12" s="15">
        <f>IF(OR(A12="",N12=""),"",N12-TODAY())</f>
        <v/>
      </c>
      <c r="V12" s="15">
        <f>IF(A12="","",IF(AND(R12&lt;&gt;"",R12&gt;=100),"Completada",IF(N12="","Sin fecha límite",IF(TODAY()&gt;N12,"Fecha límite vencida",IF(AND(M12&lt;&gt;"",TODAY()&lt;M12),"Por iniciar","En plazo")))))</f>
        <v/>
      </c>
      <c r="W12" s="15">
        <f>IF(A12="","",IF(IFERROR(INDEX(Seguimiento!$R13:$AM13,MATCH(Config!$B$4,Seguimiento!$R$1:$AM$1,0)),"")="","No","Sí"))</f>
        <v/>
      </c>
      <c r="X12" s="15">
        <f>IF(A12="","",COUNTIF(Seguimiento!$R$1:$AM$1,"&lt;="&amp;Config!$B$4)-SUMPRODUCT((Seguimiento!$R$1:$AM$1&lt;&gt;"")*(Seguimiento!$R$1:$AM$1&lt;=Config!$B$4)*(Seguimiento!$R13:$AM13&lt;&gt;"")))</f>
        <v/>
      </c>
      <c r="Y12" s="15">
        <f>IF(ISNUMBER(SEARCH("Ruta de Vigilancia",C12)),COUNTIF(Hitos_RutaElNino!$C$2:$C$200,"Sí")&amp;" / "&amp;COUNTIF(Hitos_RutaElNino!$A$2:$A$200,"&lt;&gt;"),"")</f>
        <v/>
      </c>
      <c r="Z12" s="15">
        <f>IF(A12="","",IF(Seguimiento!Q13="","",IF(ISNUMBER(Seguimiento!Q13),IF(Seguimiento!Q13&lt;=1,Seguimiento!Q13*100,Seguimiento!Q13),IFERROR(IF(VALUE(SUBSTITUTE(SUBSTITUTE(Seguimiento!Q13,"%",""),",","."))&lt;=1,VALUE(SUBSTITUTE(SUBSTITUTE(Seguimiento!Q13,"%",""),",","."))*100,VALUE(SUBSTITUTE(SUBSTITUTE(Seguimiento!Q13,"%",""),",","."))),""))))</f>
        <v/>
      </c>
    </row>
    <row r="13">
      <c r="A13" s="15">
        <f>IF(Seguimiento!A14="","",Seguimiento!A14)</f>
        <v/>
      </c>
      <c r="B13" s="15">
        <f>IF(Seguimiento!A14="","",Seguimiento!B14)</f>
        <v/>
      </c>
      <c r="C13" s="15">
        <f>IF(Seguimiento!A14="","",Seguimiento!C14&amp;"")</f>
        <v/>
      </c>
      <c r="D13" s="15">
        <f>IF(Seguimiento!A14="","",Seguimiento!D14&amp;"")</f>
        <v/>
      </c>
      <c r="E13" s="15">
        <f>IF(Seguimiento!A14="","",Seguimiento!E14&amp;"")</f>
        <v/>
      </c>
      <c r="F13" s="15">
        <f>IF(Seguimiento!A14="","",Seguimiento!F14&amp;"")</f>
        <v/>
      </c>
      <c r="G13" s="15">
        <f>IF(Seguimiento!A14="","",Seguimiento!G14&amp;"")</f>
        <v/>
      </c>
      <c r="H13" s="15">
        <f>IF(Seguimiento!A14="","",Seguimiento!H14&amp;"")</f>
        <v/>
      </c>
      <c r="I13" s="15">
        <f>IF(Seguimiento!A14="","",Seguimiento!I14&amp;"")</f>
        <v/>
      </c>
      <c r="J13" s="15">
        <f>IF(Seguimiento!A14="","",Seguimiento!J14&amp;"")</f>
        <v/>
      </c>
      <c r="K13" s="15">
        <f>IF(Seguimiento!A14="","",Seguimiento!M14&amp;"")</f>
        <v/>
      </c>
      <c r="L13" s="15">
        <f>IF(Seguimiento!A14="","",Seguimiento!N14&amp;"")</f>
        <v/>
      </c>
      <c r="M13" s="16">
        <f>IF(Seguimiento!K14="","",Seguimiento!K14)</f>
        <v/>
      </c>
      <c r="N13" s="16">
        <f>IF(Seguimiento!L14="","",Seguimiento!L14)</f>
        <v/>
      </c>
      <c r="O13" s="15">
        <f>IF(Seguimiento!A14="","",Seguimiento!O14&amp;"")</f>
        <v/>
      </c>
      <c r="P13" s="15">
        <f>IF(Seguimiento!A14="","",Seguimiento!P14&amp;"")</f>
        <v/>
      </c>
      <c r="Q13" s="16">
        <f>IF(A13="","",IFERROR(LOOKUP(2,1/((Seguimiento!$R$1:$AM$1&lt;&gt;"")*(Seguimiento!$R14:$AM14&lt;&gt;"")),Seguimiento!$R$1:$AM$1),"Base"))</f>
        <v/>
      </c>
      <c r="R13" s="15">
        <f>IF(A13="","",IF(ISERROR(LOOKUP(2,1/((Seguimiento!$R$1:$AM$1&lt;&gt;"")*(Seguimiento!$R14:$AM14&lt;&gt;"")),Seguimiento!$R14:$AM14)),IF(Seguimiento!Q14="","",IF(ISNUMBER(Seguimiento!Q14),IF(Seguimiento!Q14&lt;=1,Seguimiento!Q14*100,Seguimiento!Q14),IFERROR(IF(VALUE(SUBSTITUTE(SUBSTITUTE(Seguimiento!Q14,"%",""),",","."))&lt;=1,VALUE(SUBSTITUTE(SUBSTITUTE(Seguimiento!Q14,"%",""),",","."))*100,VALUE(SUBSTITUTE(SUBSTITUTE(Seguimiento!Q14,"%",""),",","."))),""))),IF(ISNUMBER(LOOKUP(2,1/((Seguimiento!$R$1:$AM$1&lt;&gt;"")*(Seguimiento!$R14:$AM14&lt;&gt;"")),Seguimiento!$R14:$AM14)),IF(LOOKUP(2,1/((Seguimiento!$R$1:$AM$1&lt;&gt;"")*(Seguimiento!$R14:$AM14&lt;&gt;"")),Seguimiento!$R14:$AM14)&lt;=1,LOOKUP(2,1/((Seguimiento!$R$1:$AM$1&lt;&gt;"")*(Seguimiento!$R14:$AM14&lt;&gt;"")),Seguimiento!$R14:$AM14)*100,LOOKUP(2,1/((Seguimiento!$R$1:$AM$1&lt;&gt;"")*(Seguimiento!$R14:$AM14&lt;&gt;"")),Seguimiento!$R14:$AM14)),IFERROR(IF(VALUE(SUBSTITUTE(SUBSTITUTE(LOOKUP(2,1/((Seguimiento!$R$1:$AM$1&lt;&gt;"")*(Seguimiento!$R14:$AM14&lt;&gt;"")),Seguimiento!$R14:$AM14),"%",""),",","."))&lt;=1,VALUE(SUBSTITUTE(SUBSTITUTE(LOOKUP(2,1/((Seguimiento!$R$1:$AM$1&lt;&gt;"")*(Seguimiento!$R14:$AM14&lt;&gt;"")),Seguimiento!$R14:$AM14),"%",""),",","."))*100,VALUE(SUBSTITUTE(SUBSTITUTE(LOOKUP(2,1/((Seguimiento!$R$1:$AM$1&lt;&gt;"")*(Seguimiento!$R14:$AM14&lt;&gt;"")),Seguimiento!$R14:$AM14),"%",""),",","."))),""))))</f>
        <v/>
      </c>
      <c r="S13" s="15">
        <f>IF(OR(A13="",Q13="Base"),"",IFERROR(INDEX(Seguimiento!$R14:$AM14,MATCH(Q13,Seguimiento!$R$1:$AM$1,0)+1)&amp;"",""))</f>
        <v/>
      </c>
      <c r="T13" s="15">
        <f>IF(A13="","",TODAY()-Config!$B$2+1)</f>
        <v/>
      </c>
      <c r="U13" s="15">
        <f>IF(OR(A13="",N13=""),"",N13-TODAY())</f>
        <v/>
      </c>
      <c r="V13" s="15">
        <f>IF(A13="","",IF(AND(R13&lt;&gt;"",R13&gt;=100),"Completada",IF(N13="","Sin fecha límite",IF(TODAY()&gt;N13,"Fecha límite vencida",IF(AND(M13&lt;&gt;"",TODAY()&lt;M13),"Por iniciar","En plazo")))))</f>
        <v/>
      </c>
      <c r="W13" s="15">
        <f>IF(A13="","",IF(IFERROR(INDEX(Seguimiento!$R14:$AM14,MATCH(Config!$B$4,Seguimiento!$R$1:$AM$1,0)),"")="","No","Sí"))</f>
        <v/>
      </c>
      <c r="X13" s="15">
        <f>IF(A13="","",COUNTIF(Seguimiento!$R$1:$AM$1,"&lt;="&amp;Config!$B$4)-SUMPRODUCT((Seguimiento!$R$1:$AM$1&lt;&gt;"")*(Seguimiento!$R$1:$AM$1&lt;=Config!$B$4)*(Seguimiento!$R14:$AM14&lt;&gt;"")))</f>
        <v/>
      </c>
      <c r="Y13" s="15">
        <f>IF(ISNUMBER(SEARCH("Ruta de Vigilancia",C13)),COUNTIF(Hitos_RutaElNino!$C$2:$C$200,"Sí")&amp;" / "&amp;COUNTIF(Hitos_RutaElNino!$A$2:$A$200,"&lt;&gt;"),"")</f>
        <v/>
      </c>
      <c r="Z13" s="15">
        <f>IF(A13="","",IF(Seguimiento!Q14="","",IF(ISNUMBER(Seguimiento!Q14),IF(Seguimiento!Q14&lt;=1,Seguimiento!Q14*100,Seguimiento!Q14),IFERROR(IF(VALUE(SUBSTITUTE(SUBSTITUTE(Seguimiento!Q14,"%",""),",","."))&lt;=1,VALUE(SUBSTITUTE(SUBSTITUTE(Seguimiento!Q14,"%",""),",","."))*100,VALUE(SUBSTITUTE(SUBSTITUTE(Seguimiento!Q14,"%",""),",","."))),""))))</f>
        <v/>
      </c>
    </row>
    <row r="14">
      <c r="A14" s="15">
        <f>IF(Seguimiento!A15="","",Seguimiento!A15)</f>
        <v/>
      </c>
      <c r="B14" s="15">
        <f>IF(Seguimiento!A15="","",Seguimiento!B15)</f>
        <v/>
      </c>
      <c r="C14" s="15">
        <f>IF(Seguimiento!A15="","",Seguimiento!C15&amp;"")</f>
        <v/>
      </c>
      <c r="D14" s="15">
        <f>IF(Seguimiento!A15="","",Seguimiento!D15&amp;"")</f>
        <v/>
      </c>
      <c r="E14" s="15">
        <f>IF(Seguimiento!A15="","",Seguimiento!E15&amp;"")</f>
        <v/>
      </c>
      <c r="F14" s="15">
        <f>IF(Seguimiento!A15="","",Seguimiento!F15&amp;"")</f>
        <v/>
      </c>
      <c r="G14" s="15">
        <f>IF(Seguimiento!A15="","",Seguimiento!G15&amp;"")</f>
        <v/>
      </c>
      <c r="H14" s="15">
        <f>IF(Seguimiento!A15="","",Seguimiento!H15&amp;"")</f>
        <v/>
      </c>
      <c r="I14" s="15">
        <f>IF(Seguimiento!A15="","",Seguimiento!I15&amp;"")</f>
        <v/>
      </c>
      <c r="J14" s="15">
        <f>IF(Seguimiento!A15="","",Seguimiento!J15&amp;"")</f>
        <v/>
      </c>
      <c r="K14" s="15">
        <f>IF(Seguimiento!A15="","",Seguimiento!M15&amp;"")</f>
        <v/>
      </c>
      <c r="L14" s="15">
        <f>IF(Seguimiento!A15="","",Seguimiento!N15&amp;"")</f>
        <v/>
      </c>
      <c r="M14" s="16">
        <f>IF(Seguimiento!K15="","",Seguimiento!K15)</f>
        <v/>
      </c>
      <c r="N14" s="16">
        <f>IF(Seguimiento!L15="","",Seguimiento!L15)</f>
        <v/>
      </c>
      <c r="O14" s="15">
        <f>IF(Seguimiento!A15="","",Seguimiento!O15&amp;"")</f>
        <v/>
      </c>
      <c r="P14" s="15">
        <f>IF(Seguimiento!A15="","",Seguimiento!P15&amp;"")</f>
        <v/>
      </c>
      <c r="Q14" s="16">
        <f>IF(A14="","",IFERROR(LOOKUP(2,1/((Seguimiento!$R$1:$AM$1&lt;&gt;"")*(Seguimiento!$R15:$AM15&lt;&gt;"")),Seguimiento!$R$1:$AM$1),"Base"))</f>
        <v/>
      </c>
      <c r="R14" s="15">
        <f>IF(A14="","",IF(ISERROR(LOOKUP(2,1/((Seguimiento!$R$1:$AM$1&lt;&gt;"")*(Seguimiento!$R15:$AM15&lt;&gt;"")),Seguimiento!$R15:$AM15)),IF(Seguimiento!Q15="","",IF(ISNUMBER(Seguimiento!Q15),IF(Seguimiento!Q15&lt;=1,Seguimiento!Q15*100,Seguimiento!Q15),IFERROR(IF(VALUE(SUBSTITUTE(SUBSTITUTE(Seguimiento!Q15,"%",""),",","."))&lt;=1,VALUE(SUBSTITUTE(SUBSTITUTE(Seguimiento!Q15,"%",""),",","."))*100,VALUE(SUBSTITUTE(SUBSTITUTE(Seguimiento!Q15,"%",""),",","."))),""))),IF(ISNUMBER(LOOKUP(2,1/((Seguimiento!$R$1:$AM$1&lt;&gt;"")*(Seguimiento!$R15:$AM15&lt;&gt;"")),Seguimiento!$R15:$AM15)),IF(LOOKUP(2,1/((Seguimiento!$R$1:$AM$1&lt;&gt;"")*(Seguimiento!$R15:$AM15&lt;&gt;"")),Seguimiento!$R15:$AM15)&lt;=1,LOOKUP(2,1/((Seguimiento!$R$1:$AM$1&lt;&gt;"")*(Seguimiento!$R15:$AM15&lt;&gt;"")),Seguimiento!$R15:$AM15)*100,LOOKUP(2,1/((Seguimiento!$R$1:$AM$1&lt;&gt;"")*(Seguimiento!$R15:$AM15&lt;&gt;"")),Seguimiento!$R15:$AM15)),IFERROR(IF(VALUE(SUBSTITUTE(SUBSTITUTE(LOOKUP(2,1/((Seguimiento!$R$1:$AM$1&lt;&gt;"")*(Seguimiento!$R15:$AM15&lt;&gt;"")),Seguimiento!$R15:$AM15),"%",""),",","."))&lt;=1,VALUE(SUBSTITUTE(SUBSTITUTE(LOOKUP(2,1/((Seguimiento!$R$1:$AM$1&lt;&gt;"")*(Seguimiento!$R15:$AM15&lt;&gt;"")),Seguimiento!$R15:$AM15),"%",""),",","."))*100,VALUE(SUBSTITUTE(SUBSTITUTE(LOOKUP(2,1/((Seguimiento!$R$1:$AM$1&lt;&gt;"")*(Seguimiento!$R15:$AM15&lt;&gt;"")),Seguimiento!$R15:$AM15),"%",""),",","."))),""))))</f>
        <v/>
      </c>
      <c r="S14" s="15">
        <f>IF(OR(A14="",Q14="Base"),"",IFERROR(INDEX(Seguimiento!$R15:$AM15,MATCH(Q14,Seguimiento!$R$1:$AM$1,0)+1)&amp;"",""))</f>
        <v/>
      </c>
      <c r="T14" s="15">
        <f>IF(A14="","",TODAY()-Config!$B$2+1)</f>
        <v/>
      </c>
      <c r="U14" s="15">
        <f>IF(OR(A14="",N14=""),"",N14-TODAY())</f>
        <v/>
      </c>
      <c r="V14" s="15">
        <f>IF(A14="","",IF(AND(R14&lt;&gt;"",R14&gt;=100),"Completada",IF(N14="","Sin fecha límite",IF(TODAY()&gt;N14,"Fecha límite vencida",IF(AND(M14&lt;&gt;"",TODAY()&lt;M14),"Por iniciar","En plazo")))))</f>
        <v/>
      </c>
      <c r="W14" s="15">
        <f>IF(A14="","",IF(IFERROR(INDEX(Seguimiento!$R15:$AM15,MATCH(Config!$B$4,Seguimiento!$R$1:$AM$1,0)),"")="","No","Sí"))</f>
        <v/>
      </c>
      <c r="X14" s="15">
        <f>IF(A14="","",COUNTIF(Seguimiento!$R$1:$AM$1,"&lt;="&amp;Config!$B$4)-SUMPRODUCT((Seguimiento!$R$1:$AM$1&lt;&gt;"")*(Seguimiento!$R$1:$AM$1&lt;=Config!$B$4)*(Seguimiento!$R15:$AM15&lt;&gt;"")))</f>
        <v/>
      </c>
      <c r="Y14" s="15">
        <f>IF(ISNUMBER(SEARCH("Ruta de Vigilancia",C14)),COUNTIF(Hitos_RutaElNino!$C$2:$C$200,"Sí")&amp;" / "&amp;COUNTIF(Hitos_RutaElNino!$A$2:$A$200,"&lt;&gt;"),"")</f>
        <v/>
      </c>
      <c r="Z14" s="15">
        <f>IF(A14="","",IF(Seguimiento!Q15="","",IF(ISNUMBER(Seguimiento!Q15),IF(Seguimiento!Q15&lt;=1,Seguimiento!Q15*100,Seguimiento!Q15),IFERROR(IF(VALUE(SUBSTITUTE(SUBSTITUTE(Seguimiento!Q15,"%",""),",","."))&lt;=1,VALUE(SUBSTITUTE(SUBSTITUTE(Seguimiento!Q15,"%",""),",","."))*100,VALUE(SUBSTITUTE(SUBSTITUTE(Seguimiento!Q15,"%",""),",","."))),""))))</f>
        <v/>
      </c>
    </row>
    <row r="15">
      <c r="A15" s="15">
        <f>IF(Seguimiento!A16="","",Seguimiento!A16)</f>
        <v/>
      </c>
      <c r="B15" s="15">
        <f>IF(Seguimiento!A16="","",Seguimiento!B16)</f>
        <v/>
      </c>
      <c r="C15" s="15">
        <f>IF(Seguimiento!A16="","",Seguimiento!C16&amp;"")</f>
        <v/>
      </c>
      <c r="D15" s="15">
        <f>IF(Seguimiento!A16="","",Seguimiento!D16&amp;"")</f>
        <v/>
      </c>
      <c r="E15" s="15">
        <f>IF(Seguimiento!A16="","",Seguimiento!E16&amp;"")</f>
        <v/>
      </c>
      <c r="F15" s="15">
        <f>IF(Seguimiento!A16="","",Seguimiento!F16&amp;"")</f>
        <v/>
      </c>
      <c r="G15" s="15">
        <f>IF(Seguimiento!A16="","",Seguimiento!G16&amp;"")</f>
        <v/>
      </c>
      <c r="H15" s="15">
        <f>IF(Seguimiento!A16="","",Seguimiento!H16&amp;"")</f>
        <v/>
      </c>
      <c r="I15" s="15">
        <f>IF(Seguimiento!A16="","",Seguimiento!I16&amp;"")</f>
        <v/>
      </c>
      <c r="J15" s="15">
        <f>IF(Seguimiento!A16="","",Seguimiento!J16&amp;"")</f>
        <v/>
      </c>
      <c r="K15" s="15">
        <f>IF(Seguimiento!A16="","",Seguimiento!M16&amp;"")</f>
        <v/>
      </c>
      <c r="L15" s="15">
        <f>IF(Seguimiento!A16="","",Seguimiento!N16&amp;"")</f>
        <v/>
      </c>
      <c r="M15" s="16">
        <f>IF(Seguimiento!K16="","",Seguimiento!K16)</f>
        <v/>
      </c>
      <c r="N15" s="16">
        <f>IF(Seguimiento!L16="","",Seguimiento!L16)</f>
        <v/>
      </c>
      <c r="O15" s="15">
        <f>IF(Seguimiento!A16="","",Seguimiento!O16&amp;"")</f>
        <v/>
      </c>
      <c r="P15" s="15">
        <f>IF(Seguimiento!A16="","",Seguimiento!P16&amp;"")</f>
        <v/>
      </c>
      <c r="Q15" s="16">
        <f>IF(A15="","",IFERROR(LOOKUP(2,1/((Seguimiento!$R$1:$AM$1&lt;&gt;"")*(Seguimiento!$R16:$AM16&lt;&gt;"")),Seguimiento!$R$1:$AM$1),"Base"))</f>
        <v/>
      </c>
      <c r="R15" s="15">
        <f>IF(A15="","",IF(ISERROR(LOOKUP(2,1/((Seguimiento!$R$1:$AM$1&lt;&gt;"")*(Seguimiento!$R16:$AM16&lt;&gt;"")),Seguimiento!$R16:$AM16)),IF(Seguimiento!Q16="","",IF(ISNUMBER(Seguimiento!Q16),IF(Seguimiento!Q16&lt;=1,Seguimiento!Q16*100,Seguimiento!Q16),IFERROR(IF(VALUE(SUBSTITUTE(SUBSTITUTE(Seguimiento!Q16,"%",""),",","."))&lt;=1,VALUE(SUBSTITUTE(SUBSTITUTE(Seguimiento!Q16,"%",""),",","."))*100,VALUE(SUBSTITUTE(SUBSTITUTE(Seguimiento!Q16,"%",""),",","."))),""))),IF(ISNUMBER(LOOKUP(2,1/((Seguimiento!$R$1:$AM$1&lt;&gt;"")*(Seguimiento!$R16:$AM16&lt;&gt;"")),Seguimiento!$R16:$AM16)),IF(LOOKUP(2,1/((Seguimiento!$R$1:$AM$1&lt;&gt;"")*(Seguimiento!$R16:$AM16&lt;&gt;"")),Seguimiento!$R16:$AM16)&lt;=1,LOOKUP(2,1/((Seguimiento!$R$1:$AM$1&lt;&gt;"")*(Seguimiento!$R16:$AM16&lt;&gt;"")),Seguimiento!$R16:$AM16)*100,LOOKUP(2,1/((Seguimiento!$R$1:$AM$1&lt;&gt;"")*(Seguimiento!$R16:$AM16&lt;&gt;"")),Seguimiento!$R16:$AM16)),IFERROR(IF(VALUE(SUBSTITUTE(SUBSTITUTE(LOOKUP(2,1/((Seguimiento!$R$1:$AM$1&lt;&gt;"")*(Seguimiento!$R16:$AM16&lt;&gt;"")),Seguimiento!$R16:$AM16),"%",""),",","."))&lt;=1,VALUE(SUBSTITUTE(SUBSTITUTE(LOOKUP(2,1/((Seguimiento!$R$1:$AM$1&lt;&gt;"")*(Seguimiento!$R16:$AM16&lt;&gt;"")),Seguimiento!$R16:$AM16),"%",""),",","."))*100,VALUE(SUBSTITUTE(SUBSTITUTE(LOOKUP(2,1/((Seguimiento!$R$1:$AM$1&lt;&gt;"")*(Seguimiento!$R16:$AM16&lt;&gt;"")),Seguimiento!$R16:$AM16),"%",""),",","."))),""))))</f>
        <v/>
      </c>
      <c r="S15" s="15">
        <f>IF(OR(A15="",Q15="Base"),"",IFERROR(INDEX(Seguimiento!$R16:$AM16,MATCH(Q15,Seguimiento!$R$1:$AM$1,0)+1)&amp;"",""))</f>
        <v/>
      </c>
      <c r="T15" s="15">
        <f>IF(A15="","",TODAY()-Config!$B$2+1)</f>
        <v/>
      </c>
      <c r="U15" s="15">
        <f>IF(OR(A15="",N15=""),"",N15-TODAY())</f>
        <v/>
      </c>
      <c r="V15" s="15">
        <f>IF(A15="","",IF(AND(R15&lt;&gt;"",R15&gt;=100),"Completada",IF(N15="","Sin fecha límite",IF(TODAY()&gt;N15,"Fecha límite vencida",IF(AND(M15&lt;&gt;"",TODAY()&lt;M15),"Por iniciar","En plazo")))))</f>
        <v/>
      </c>
      <c r="W15" s="15">
        <f>IF(A15="","",IF(IFERROR(INDEX(Seguimiento!$R16:$AM16,MATCH(Config!$B$4,Seguimiento!$R$1:$AM$1,0)),"")="","No","Sí"))</f>
        <v/>
      </c>
      <c r="X15" s="15">
        <f>IF(A15="","",COUNTIF(Seguimiento!$R$1:$AM$1,"&lt;="&amp;Config!$B$4)-SUMPRODUCT((Seguimiento!$R$1:$AM$1&lt;&gt;"")*(Seguimiento!$R$1:$AM$1&lt;=Config!$B$4)*(Seguimiento!$R16:$AM16&lt;&gt;"")))</f>
        <v/>
      </c>
      <c r="Y15" s="15">
        <f>IF(ISNUMBER(SEARCH("Ruta de Vigilancia",C15)),COUNTIF(Hitos_RutaElNino!$C$2:$C$200,"Sí")&amp;" / "&amp;COUNTIF(Hitos_RutaElNino!$A$2:$A$200,"&lt;&gt;"),"")</f>
        <v/>
      </c>
      <c r="Z15" s="15">
        <f>IF(A15="","",IF(Seguimiento!Q16="","",IF(ISNUMBER(Seguimiento!Q16),IF(Seguimiento!Q16&lt;=1,Seguimiento!Q16*100,Seguimiento!Q16),IFERROR(IF(VALUE(SUBSTITUTE(SUBSTITUTE(Seguimiento!Q16,"%",""),",","."))&lt;=1,VALUE(SUBSTITUTE(SUBSTITUTE(Seguimiento!Q16,"%",""),",","."))*100,VALUE(SUBSTITUTE(SUBSTITUTE(Seguimiento!Q16,"%",""),",","."))),""))))</f>
        <v/>
      </c>
    </row>
    <row r="16">
      <c r="A16" s="15">
        <f>IF(Seguimiento!A17="","",Seguimiento!A17)</f>
        <v/>
      </c>
      <c r="B16" s="15">
        <f>IF(Seguimiento!A17="","",Seguimiento!B17)</f>
        <v/>
      </c>
      <c r="C16" s="15">
        <f>IF(Seguimiento!A17="","",Seguimiento!C17&amp;"")</f>
        <v/>
      </c>
      <c r="D16" s="15">
        <f>IF(Seguimiento!A17="","",Seguimiento!D17&amp;"")</f>
        <v/>
      </c>
      <c r="E16" s="15">
        <f>IF(Seguimiento!A17="","",Seguimiento!E17&amp;"")</f>
        <v/>
      </c>
      <c r="F16" s="15">
        <f>IF(Seguimiento!A17="","",Seguimiento!F17&amp;"")</f>
        <v/>
      </c>
      <c r="G16" s="15">
        <f>IF(Seguimiento!A17="","",Seguimiento!G17&amp;"")</f>
        <v/>
      </c>
      <c r="H16" s="15">
        <f>IF(Seguimiento!A17="","",Seguimiento!H17&amp;"")</f>
        <v/>
      </c>
      <c r="I16" s="15">
        <f>IF(Seguimiento!A17="","",Seguimiento!I17&amp;"")</f>
        <v/>
      </c>
      <c r="J16" s="15">
        <f>IF(Seguimiento!A17="","",Seguimiento!J17&amp;"")</f>
        <v/>
      </c>
      <c r="K16" s="15">
        <f>IF(Seguimiento!A17="","",Seguimiento!M17&amp;"")</f>
        <v/>
      </c>
      <c r="L16" s="15">
        <f>IF(Seguimiento!A17="","",Seguimiento!N17&amp;"")</f>
        <v/>
      </c>
      <c r="M16" s="16">
        <f>IF(Seguimiento!K17="","",Seguimiento!K17)</f>
        <v/>
      </c>
      <c r="N16" s="16">
        <f>IF(Seguimiento!L17="","",Seguimiento!L17)</f>
        <v/>
      </c>
      <c r="O16" s="15">
        <f>IF(Seguimiento!A17="","",Seguimiento!O17&amp;"")</f>
        <v/>
      </c>
      <c r="P16" s="15">
        <f>IF(Seguimiento!A17="","",Seguimiento!P17&amp;"")</f>
        <v/>
      </c>
      <c r="Q16" s="16">
        <f>IF(A16="","",IFERROR(LOOKUP(2,1/((Seguimiento!$R$1:$AM$1&lt;&gt;"")*(Seguimiento!$R17:$AM17&lt;&gt;"")),Seguimiento!$R$1:$AM$1),"Base"))</f>
        <v/>
      </c>
      <c r="R16" s="15">
        <f>IF(A16="","",IF(ISERROR(LOOKUP(2,1/((Seguimiento!$R$1:$AM$1&lt;&gt;"")*(Seguimiento!$R17:$AM17&lt;&gt;"")),Seguimiento!$R17:$AM17)),IF(Seguimiento!Q17="","",IF(ISNUMBER(Seguimiento!Q17),IF(Seguimiento!Q17&lt;=1,Seguimiento!Q17*100,Seguimiento!Q17),IFERROR(IF(VALUE(SUBSTITUTE(SUBSTITUTE(Seguimiento!Q17,"%",""),",","."))&lt;=1,VALUE(SUBSTITUTE(SUBSTITUTE(Seguimiento!Q17,"%",""),",","."))*100,VALUE(SUBSTITUTE(SUBSTITUTE(Seguimiento!Q17,"%",""),",","."))),""))),IF(ISNUMBER(LOOKUP(2,1/((Seguimiento!$R$1:$AM$1&lt;&gt;"")*(Seguimiento!$R17:$AM17&lt;&gt;"")),Seguimiento!$R17:$AM17)),IF(LOOKUP(2,1/((Seguimiento!$R$1:$AM$1&lt;&gt;"")*(Seguimiento!$R17:$AM17&lt;&gt;"")),Seguimiento!$R17:$AM17)&lt;=1,LOOKUP(2,1/((Seguimiento!$R$1:$AM$1&lt;&gt;"")*(Seguimiento!$R17:$AM17&lt;&gt;"")),Seguimiento!$R17:$AM17)*100,LOOKUP(2,1/((Seguimiento!$R$1:$AM$1&lt;&gt;"")*(Seguimiento!$R17:$AM17&lt;&gt;"")),Seguimiento!$R17:$AM17)),IFERROR(IF(VALUE(SUBSTITUTE(SUBSTITUTE(LOOKUP(2,1/((Seguimiento!$R$1:$AM$1&lt;&gt;"")*(Seguimiento!$R17:$AM17&lt;&gt;"")),Seguimiento!$R17:$AM17),"%",""),",","."))&lt;=1,VALUE(SUBSTITUTE(SUBSTITUTE(LOOKUP(2,1/((Seguimiento!$R$1:$AM$1&lt;&gt;"")*(Seguimiento!$R17:$AM17&lt;&gt;"")),Seguimiento!$R17:$AM17),"%",""),",","."))*100,VALUE(SUBSTITUTE(SUBSTITUTE(LOOKUP(2,1/((Seguimiento!$R$1:$AM$1&lt;&gt;"")*(Seguimiento!$R17:$AM17&lt;&gt;"")),Seguimiento!$R17:$AM17),"%",""),",","."))),""))))</f>
        <v/>
      </c>
      <c r="S16" s="15">
        <f>IF(OR(A16="",Q16="Base"),"",IFERROR(INDEX(Seguimiento!$R17:$AM17,MATCH(Q16,Seguimiento!$R$1:$AM$1,0)+1)&amp;"",""))</f>
        <v/>
      </c>
      <c r="T16" s="15">
        <f>IF(A16="","",TODAY()-Config!$B$2+1)</f>
        <v/>
      </c>
      <c r="U16" s="15">
        <f>IF(OR(A16="",N16=""),"",N16-TODAY())</f>
        <v/>
      </c>
      <c r="V16" s="15">
        <f>IF(A16="","",IF(AND(R16&lt;&gt;"",R16&gt;=100),"Completada",IF(N16="","Sin fecha límite",IF(TODAY()&gt;N16,"Fecha límite vencida",IF(AND(M16&lt;&gt;"",TODAY()&lt;M16),"Por iniciar","En plazo")))))</f>
        <v/>
      </c>
      <c r="W16" s="15">
        <f>IF(A16="","",IF(IFERROR(INDEX(Seguimiento!$R17:$AM17,MATCH(Config!$B$4,Seguimiento!$R$1:$AM$1,0)),"")="","No","Sí"))</f>
        <v/>
      </c>
      <c r="X16" s="15">
        <f>IF(A16="","",COUNTIF(Seguimiento!$R$1:$AM$1,"&lt;="&amp;Config!$B$4)-SUMPRODUCT((Seguimiento!$R$1:$AM$1&lt;&gt;"")*(Seguimiento!$R$1:$AM$1&lt;=Config!$B$4)*(Seguimiento!$R17:$AM17&lt;&gt;"")))</f>
        <v/>
      </c>
      <c r="Y16" s="15">
        <f>IF(ISNUMBER(SEARCH("Ruta de Vigilancia",C16)),COUNTIF(Hitos_RutaElNino!$C$2:$C$200,"Sí")&amp;" / "&amp;COUNTIF(Hitos_RutaElNino!$A$2:$A$200,"&lt;&gt;"),"")</f>
        <v/>
      </c>
      <c r="Z16" s="15">
        <f>IF(A16="","",IF(Seguimiento!Q17="","",IF(ISNUMBER(Seguimiento!Q17),IF(Seguimiento!Q17&lt;=1,Seguimiento!Q17*100,Seguimiento!Q17),IFERROR(IF(VALUE(SUBSTITUTE(SUBSTITUTE(Seguimiento!Q17,"%",""),",","."))&lt;=1,VALUE(SUBSTITUTE(SUBSTITUTE(Seguimiento!Q17,"%",""),",","."))*100,VALUE(SUBSTITUTE(SUBSTITUTE(Seguimiento!Q17,"%",""),",","."))),""))))</f>
        <v/>
      </c>
    </row>
    <row r="17">
      <c r="A17" s="15">
        <f>IF(Seguimiento!A18="","",Seguimiento!A18)</f>
        <v/>
      </c>
      <c r="B17" s="15">
        <f>IF(Seguimiento!A18="","",Seguimiento!B18)</f>
        <v/>
      </c>
      <c r="C17" s="15">
        <f>IF(Seguimiento!A18="","",Seguimiento!C18&amp;"")</f>
        <v/>
      </c>
      <c r="D17" s="15">
        <f>IF(Seguimiento!A18="","",Seguimiento!D18&amp;"")</f>
        <v/>
      </c>
      <c r="E17" s="15">
        <f>IF(Seguimiento!A18="","",Seguimiento!E18&amp;"")</f>
        <v/>
      </c>
      <c r="F17" s="15">
        <f>IF(Seguimiento!A18="","",Seguimiento!F18&amp;"")</f>
        <v/>
      </c>
      <c r="G17" s="15">
        <f>IF(Seguimiento!A18="","",Seguimiento!G18&amp;"")</f>
        <v/>
      </c>
      <c r="H17" s="15">
        <f>IF(Seguimiento!A18="","",Seguimiento!H18&amp;"")</f>
        <v/>
      </c>
      <c r="I17" s="15">
        <f>IF(Seguimiento!A18="","",Seguimiento!I18&amp;"")</f>
        <v/>
      </c>
      <c r="J17" s="15">
        <f>IF(Seguimiento!A18="","",Seguimiento!J18&amp;"")</f>
        <v/>
      </c>
      <c r="K17" s="15">
        <f>IF(Seguimiento!A18="","",Seguimiento!M18&amp;"")</f>
        <v/>
      </c>
      <c r="L17" s="15">
        <f>IF(Seguimiento!A18="","",Seguimiento!N18&amp;"")</f>
        <v/>
      </c>
      <c r="M17" s="16">
        <f>IF(Seguimiento!K18="","",Seguimiento!K18)</f>
        <v/>
      </c>
      <c r="N17" s="16">
        <f>IF(Seguimiento!L18="","",Seguimiento!L18)</f>
        <v/>
      </c>
      <c r="O17" s="15">
        <f>IF(Seguimiento!A18="","",Seguimiento!O18&amp;"")</f>
        <v/>
      </c>
      <c r="P17" s="15">
        <f>IF(Seguimiento!A18="","",Seguimiento!P18&amp;"")</f>
        <v/>
      </c>
      <c r="Q17" s="16">
        <f>IF(A17="","",IFERROR(LOOKUP(2,1/((Seguimiento!$R$1:$AM$1&lt;&gt;"")*(Seguimiento!$R18:$AM18&lt;&gt;"")),Seguimiento!$R$1:$AM$1),"Base"))</f>
        <v/>
      </c>
      <c r="R17" s="15">
        <f>IF(A17="","",IF(ISERROR(LOOKUP(2,1/((Seguimiento!$R$1:$AM$1&lt;&gt;"")*(Seguimiento!$R18:$AM18&lt;&gt;"")),Seguimiento!$R18:$AM18)),IF(Seguimiento!Q18="","",IF(ISNUMBER(Seguimiento!Q18),IF(Seguimiento!Q18&lt;=1,Seguimiento!Q18*100,Seguimiento!Q18),IFERROR(IF(VALUE(SUBSTITUTE(SUBSTITUTE(Seguimiento!Q18,"%",""),",","."))&lt;=1,VALUE(SUBSTITUTE(SUBSTITUTE(Seguimiento!Q18,"%",""),",","."))*100,VALUE(SUBSTITUTE(SUBSTITUTE(Seguimiento!Q18,"%",""),",","."))),""))),IF(ISNUMBER(LOOKUP(2,1/((Seguimiento!$R$1:$AM$1&lt;&gt;"")*(Seguimiento!$R18:$AM18&lt;&gt;"")),Seguimiento!$R18:$AM18)),IF(LOOKUP(2,1/((Seguimiento!$R$1:$AM$1&lt;&gt;"")*(Seguimiento!$R18:$AM18&lt;&gt;"")),Seguimiento!$R18:$AM18)&lt;=1,LOOKUP(2,1/((Seguimiento!$R$1:$AM$1&lt;&gt;"")*(Seguimiento!$R18:$AM18&lt;&gt;"")),Seguimiento!$R18:$AM18)*100,LOOKUP(2,1/((Seguimiento!$R$1:$AM$1&lt;&gt;"")*(Seguimiento!$R18:$AM18&lt;&gt;"")),Seguimiento!$R18:$AM18)),IFERROR(IF(VALUE(SUBSTITUTE(SUBSTITUTE(LOOKUP(2,1/((Seguimiento!$R$1:$AM$1&lt;&gt;"")*(Seguimiento!$R18:$AM18&lt;&gt;"")),Seguimiento!$R18:$AM18),"%",""),",","."))&lt;=1,VALUE(SUBSTITUTE(SUBSTITUTE(LOOKUP(2,1/((Seguimiento!$R$1:$AM$1&lt;&gt;"")*(Seguimiento!$R18:$AM18&lt;&gt;"")),Seguimiento!$R18:$AM18),"%",""),",","."))*100,VALUE(SUBSTITUTE(SUBSTITUTE(LOOKUP(2,1/((Seguimiento!$R$1:$AM$1&lt;&gt;"")*(Seguimiento!$R18:$AM18&lt;&gt;"")),Seguimiento!$R18:$AM18),"%",""),",","."))),""))))</f>
        <v/>
      </c>
      <c r="S17" s="15">
        <f>IF(OR(A17="",Q17="Base"),"",IFERROR(INDEX(Seguimiento!$R18:$AM18,MATCH(Q17,Seguimiento!$R$1:$AM$1,0)+1)&amp;"",""))</f>
        <v/>
      </c>
      <c r="T17" s="15">
        <f>IF(A17="","",TODAY()-Config!$B$2+1)</f>
        <v/>
      </c>
      <c r="U17" s="15">
        <f>IF(OR(A17="",N17=""),"",N17-TODAY())</f>
        <v/>
      </c>
      <c r="V17" s="15">
        <f>IF(A17="","",IF(AND(R17&lt;&gt;"",R17&gt;=100),"Completada",IF(N17="","Sin fecha límite",IF(TODAY()&gt;N17,"Fecha límite vencida",IF(AND(M17&lt;&gt;"",TODAY()&lt;M17),"Por iniciar","En plazo")))))</f>
        <v/>
      </c>
      <c r="W17" s="15">
        <f>IF(A17="","",IF(IFERROR(INDEX(Seguimiento!$R18:$AM18,MATCH(Config!$B$4,Seguimiento!$R$1:$AM$1,0)),"")="","No","Sí"))</f>
        <v/>
      </c>
      <c r="X17" s="15">
        <f>IF(A17="","",COUNTIF(Seguimiento!$R$1:$AM$1,"&lt;="&amp;Config!$B$4)-SUMPRODUCT((Seguimiento!$R$1:$AM$1&lt;&gt;"")*(Seguimiento!$R$1:$AM$1&lt;=Config!$B$4)*(Seguimiento!$R18:$AM18&lt;&gt;"")))</f>
        <v/>
      </c>
      <c r="Y17" s="15">
        <f>IF(ISNUMBER(SEARCH("Ruta de Vigilancia",C17)),COUNTIF(Hitos_RutaElNino!$C$2:$C$200,"Sí")&amp;" / "&amp;COUNTIF(Hitos_RutaElNino!$A$2:$A$200,"&lt;&gt;"),"")</f>
        <v/>
      </c>
      <c r="Z17" s="15">
        <f>IF(A17="","",IF(Seguimiento!Q18="","",IF(ISNUMBER(Seguimiento!Q18),IF(Seguimiento!Q18&lt;=1,Seguimiento!Q18*100,Seguimiento!Q18),IFERROR(IF(VALUE(SUBSTITUTE(SUBSTITUTE(Seguimiento!Q18,"%",""),",","."))&lt;=1,VALUE(SUBSTITUTE(SUBSTITUTE(Seguimiento!Q18,"%",""),",","."))*100,VALUE(SUBSTITUTE(SUBSTITUTE(Seguimiento!Q18,"%",""),",","."))),""))))</f>
        <v/>
      </c>
    </row>
    <row r="18">
      <c r="A18" s="15">
        <f>IF(Seguimiento!A19="","",Seguimiento!A19)</f>
        <v/>
      </c>
      <c r="B18" s="15">
        <f>IF(Seguimiento!A19="","",Seguimiento!B19)</f>
        <v/>
      </c>
      <c r="C18" s="15">
        <f>IF(Seguimiento!A19="","",Seguimiento!C19&amp;"")</f>
        <v/>
      </c>
      <c r="D18" s="15">
        <f>IF(Seguimiento!A19="","",Seguimiento!D19&amp;"")</f>
        <v/>
      </c>
      <c r="E18" s="15">
        <f>IF(Seguimiento!A19="","",Seguimiento!E19&amp;"")</f>
        <v/>
      </c>
      <c r="F18" s="15">
        <f>IF(Seguimiento!A19="","",Seguimiento!F19&amp;"")</f>
        <v/>
      </c>
      <c r="G18" s="15">
        <f>IF(Seguimiento!A19="","",Seguimiento!G19&amp;"")</f>
        <v/>
      </c>
      <c r="H18" s="15">
        <f>IF(Seguimiento!A19="","",Seguimiento!H19&amp;"")</f>
        <v/>
      </c>
      <c r="I18" s="15">
        <f>IF(Seguimiento!A19="","",Seguimiento!I19&amp;"")</f>
        <v/>
      </c>
      <c r="J18" s="15">
        <f>IF(Seguimiento!A19="","",Seguimiento!J19&amp;"")</f>
        <v/>
      </c>
      <c r="K18" s="15">
        <f>IF(Seguimiento!A19="","",Seguimiento!M19&amp;"")</f>
        <v/>
      </c>
      <c r="L18" s="15">
        <f>IF(Seguimiento!A19="","",Seguimiento!N19&amp;"")</f>
        <v/>
      </c>
      <c r="M18" s="16">
        <f>IF(Seguimiento!K19="","",Seguimiento!K19)</f>
        <v/>
      </c>
      <c r="N18" s="16">
        <f>IF(Seguimiento!L19="","",Seguimiento!L19)</f>
        <v/>
      </c>
      <c r="O18" s="15">
        <f>IF(Seguimiento!A19="","",Seguimiento!O19&amp;"")</f>
        <v/>
      </c>
      <c r="P18" s="15">
        <f>IF(Seguimiento!A19="","",Seguimiento!P19&amp;"")</f>
        <v/>
      </c>
      <c r="Q18" s="16">
        <f>IF(A18="","",IFERROR(LOOKUP(2,1/((Seguimiento!$R$1:$AM$1&lt;&gt;"")*(Seguimiento!$R19:$AM19&lt;&gt;"")),Seguimiento!$R$1:$AM$1),"Base"))</f>
        <v/>
      </c>
      <c r="R18" s="15">
        <f>IF(A18="","",IF(ISERROR(LOOKUP(2,1/((Seguimiento!$R$1:$AM$1&lt;&gt;"")*(Seguimiento!$R19:$AM19&lt;&gt;"")),Seguimiento!$R19:$AM19)),IF(Seguimiento!Q19="","",IF(ISNUMBER(Seguimiento!Q19),IF(Seguimiento!Q19&lt;=1,Seguimiento!Q19*100,Seguimiento!Q19),IFERROR(IF(VALUE(SUBSTITUTE(SUBSTITUTE(Seguimiento!Q19,"%",""),",","."))&lt;=1,VALUE(SUBSTITUTE(SUBSTITUTE(Seguimiento!Q19,"%",""),",","."))*100,VALUE(SUBSTITUTE(SUBSTITUTE(Seguimiento!Q19,"%",""),",","."))),""))),IF(ISNUMBER(LOOKUP(2,1/((Seguimiento!$R$1:$AM$1&lt;&gt;"")*(Seguimiento!$R19:$AM19&lt;&gt;"")),Seguimiento!$R19:$AM19)),IF(LOOKUP(2,1/((Seguimiento!$R$1:$AM$1&lt;&gt;"")*(Seguimiento!$R19:$AM19&lt;&gt;"")),Seguimiento!$R19:$AM19)&lt;=1,LOOKUP(2,1/((Seguimiento!$R$1:$AM$1&lt;&gt;"")*(Seguimiento!$R19:$AM19&lt;&gt;"")),Seguimiento!$R19:$AM19)*100,LOOKUP(2,1/((Seguimiento!$R$1:$AM$1&lt;&gt;"")*(Seguimiento!$R19:$AM19&lt;&gt;"")),Seguimiento!$R19:$AM19)),IFERROR(IF(VALUE(SUBSTITUTE(SUBSTITUTE(LOOKUP(2,1/((Seguimiento!$R$1:$AM$1&lt;&gt;"")*(Seguimiento!$R19:$AM19&lt;&gt;"")),Seguimiento!$R19:$AM19),"%",""),",","."))&lt;=1,VALUE(SUBSTITUTE(SUBSTITUTE(LOOKUP(2,1/((Seguimiento!$R$1:$AM$1&lt;&gt;"")*(Seguimiento!$R19:$AM19&lt;&gt;"")),Seguimiento!$R19:$AM19),"%",""),",","."))*100,VALUE(SUBSTITUTE(SUBSTITUTE(LOOKUP(2,1/((Seguimiento!$R$1:$AM$1&lt;&gt;"")*(Seguimiento!$R19:$AM19&lt;&gt;"")),Seguimiento!$R19:$AM19),"%",""),",","."))),""))))</f>
        <v/>
      </c>
      <c r="S18" s="15">
        <f>IF(OR(A18="",Q18="Base"),"",IFERROR(INDEX(Seguimiento!$R19:$AM19,MATCH(Q18,Seguimiento!$R$1:$AM$1,0)+1)&amp;"",""))</f>
        <v/>
      </c>
      <c r="T18" s="15">
        <f>IF(A18="","",TODAY()-Config!$B$2+1)</f>
        <v/>
      </c>
      <c r="U18" s="15">
        <f>IF(OR(A18="",N18=""),"",N18-TODAY())</f>
        <v/>
      </c>
      <c r="V18" s="15">
        <f>IF(A18="","",IF(AND(R18&lt;&gt;"",R18&gt;=100),"Completada",IF(N18="","Sin fecha límite",IF(TODAY()&gt;N18,"Fecha límite vencida",IF(AND(M18&lt;&gt;"",TODAY()&lt;M18),"Por iniciar","En plazo")))))</f>
        <v/>
      </c>
      <c r="W18" s="15">
        <f>IF(A18="","",IF(IFERROR(INDEX(Seguimiento!$R19:$AM19,MATCH(Config!$B$4,Seguimiento!$R$1:$AM$1,0)),"")="","No","Sí"))</f>
        <v/>
      </c>
      <c r="X18" s="15">
        <f>IF(A18="","",COUNTIF(Seguimiento!$R$1:$AM$1,"&lt;="&amp;Config!$B$4)-SUMPRODUCT((Seguimiento!$R$1:$AM$1&lt;&gt;"")*(Seguimiento!$R$1:$AM$1&lt;=Config!$B$4)*(Seguimiento!$R19:$AM19&lt;&gt;"")))</f>
        <v/>
      </c>
      <c r="Y18" s="15">
        <f>IF(ISNUMBER(SEARCH("Ruta de Vigilancia",C18)),COUNTIF(Hitos_RutaElNino!$C$2:$C$200,"Sí")&amp;" / "&amp;COUNTIF(Hitos_RutaElNino!$A$2:$A$200,"&lt;&gt;"),"")</f>
        <v/>
      </c>
      <c r="Z18" s="15">
        <f>IF(A18="","",IF(Seguimiento!Q19="","",IF(ISNUMBER(Seguimiento!Q19),IF(Seguimiento!Q19&lt;=1,Seguimiento!Q19*100,Seguimiento!Q19),IFERROR(IF(VALUE(SUBSTITUTE(SUBSTITUTE(Seguimiento!Q19,"%",""),",","."))&lt;=1,VALUE(SUBSTITUTE(SUBSTITUTE(Seguimiento!Q19,"%",""),",","."))*100,VALUE(SUBSTITUTE(SUBSTITUTE(Seguimiento!Q19,"%",""),",","."))),""))))</f>
        <v/>
      </c>
    </row>
    <row r="19">
      <c r="A19" s="15">
        <f>IF(Seguimiento!A20="","",Seguimiento!A20)</f>
        <v/>
      </c>
      <c r="B19" s="15">
        <f>IF(Seguimiento!A20="","",Seguimiento!B20)</f>
        <v/>
      </c>
      <c r="C19" s="15">
        <f>IF(Seguimiento!A20="","",Seguimiento!C20&amp;"")</f>
        <v/>
      </c>
      <c r="D19" s="15">
        <f>IF(Seguimiento!A20="","",Seguimiento!D20&amp;"")</f>
        <v/>
      </c>
      <c r="E19" s="15">
        <f>IF(Seguimiento!A20="","",Seguimiento!E20&amp;"")</f>
        <v/>
      </c>
      <c r="F19" s="15">
        <f>IF(Seguimiento!A20="","",Seguimiento!F20&amp;"")</f>
        <v/>
      </c>
      <c r="G19" s="15">
        <f>IF(Seguimiento!A20="","",Seguimiento!G20&amp;"")</f>
        <v/>
      </c>
      <c r="H19" s="15">
        <f>IF(Seguimiento!A20="","",Seguimiento!H20&amp;"")</f>
        <v/>
      </c>
      <c r="I19" s="15">
        <f>IF(Seguimiento!A20="","",Seguimiento!I20&amp;"")</f>
        <v/>
      </c>
      <c r="J19" s="15">
        <f>IF(Seguimiento!A20="","",Seguimiento!J20&amp;"")</f>
        <v/>
      </c>
      <c r="K19" s="15">
        <f>IF(Seguimiento!A20="","",Seguimiento!M20&amp;"")</f>
        <v/>
      </c>
      <c r="L19" s="15">
        <f>IF(Seguimiento!A20="","",Seguimiento!N20&amp;"")</f>
        <v/>
      </c>
      <c r="M19" s="16">
        <f>IF(Seguimiento!K20="","",Seguimiento!K20)</f>
        <v/>
      </c>
      <c r="N19" s="16">
        <f>IF(Seguimiento!L20="","",Seguimiento!L20)</f>
        <v/>
      </c>
      <c r="O19" s="15">
        <f>IF(Seguimiento!A20="","",Seguimiento!O20&amp;"")</f>
        <v/>
      </c>
      <c r="P19" s="15">
        <f>IF(Seguimiento!A20="","",Seguimiento!P20&amp;"")</f>
        <v/>
      </c>
      <c r="Q19" s="16">
        <f>IF(A19="","",IFERROR(LOOKUP(2,1/((Seguimiento!$R$1:$AM$1&lt;&gt;"")*(Seguimiento!$R20:$AM20&lt;&gt;"")),Seguimiento!$R$1:$AM$1),"Base"))</f>
        <v/>
      </c>
      <c r="R19" s="15">
        <f>IF(A19="","",IF(ISERROR(LOOKUP(2,1/((Seguimiento!$R$1:$AM$1&lt;&gt;"")*(Seguimiento!$R20:$AM20&lt;&gt;"")),Seguimiento!$R20:$AM20)),IF(Seguimiento!Q20="","",IF(ISNUMBER(Seguimiento!Q20),IF(Seguimiento!Q20&lt;=1,Seguimiento!Q20*100,Seguimiento!Q20),IFERROR(IF(VALUE(SUBSTITUTE(SUBSTITUTE(Seguimiento!Q20,"%",""),",","."))&lt;=1,VALUE(SUBSTITUTE(SUBSTITUTE(Seguimiento!Q20,"%",""),",","."))*100,VALUE(SUBSTITUTE(SUBSTITUTE(Seguimiento!Q20,"%",""),",","."))),""))),IF(ISNUMBER(LOOKUP(2,1/((Seguimiento!$R$1:$AM$1&lt;&gt;"")*(Seguimiento!$R20:$AM20&lt;&gt;"")),Seguimiento!$R20:$AM20)),IF(LOOKUP(2,1/((Seguimiento!$R$1:$AM$1&lt;&gt;"")*(Seguimiento!$R20:$AM20&lt;&gt;"")),Seguimiento!$R20:$AM20)&lt;=1,LOOKUP(2,1/((Seguimiento!$R$1:$AM$1&lt;&gt;"")*(Seguimiento!$R20:$AM20&lt;&gt;"")),Seguimiento!$R20:$AM20)*100,LOOKUP(2,1/((Seguimiento!$R$1:$AM$1&lt;&gt;"")*(Seguimiento!$R20:$AM20&lt;&gt;"")),Seguimiento!$R20:$AM20)),IFERROR(IF(VALUE(SUBSTITUTE(SUBSTITUTE(LOOKUP(2,1/((Seguimiento!$R$1:$AM$1&lt;&gt;"")*(Seguimiento!$R20:$AM20&lt;&gt;"")),Seguimiento!$R20:$AM20),"%",""),",","."))&lt;=1,VALUE(SUBSTITUTE(SUBSTITUTE(LOOKUP(2,1/((Seguimiento!$R$1:$AM$1&lt;&gt;"")*(Seguimiento!$R20:$AM20&lt;&gt;"")),Seguimiento!$R20:$AM20),"%",""),",","."))*100,VALUE(SUBSTITUTE(SUBSTITUTE(LOOKUP(2,1/((Seguimiento!$R$1:$AM$1&lt;&gt;"")*(Seguimiento!$R20:$AM20&lt;&gt;"")),Seguimiento!$R20:$AM20),"%",""),",","."))),""))))</f>
        <v/>
      </c>
      <c r="S19" s="15">
        <f>IF(OR(A19="",Q19="Base"),"",IFERROR(INDEX(Seguimiento!$R20:$AM20,MATCH(Q19,Seguimiento!$R$1:$AM$1,0)+1)&amp;"",""))</f>
        <v/>
      </c>
      <c r="T19" s="15">
        <f>IF(A19="","",TODAY()-Config!$B$2+1)</f>
        <v/>
      </c>
      <c r="U19" s="15">
        <f>IF(OR(A19="",N19=""),"",N19-TODAY())</f>
        <v/>
      </c>
      <c r="V19" s="15">
        <f>IF(A19="","",IF(AND(R19&lt;&gt;"",R19&gt;=100),"Completada",IF(N19="","Sin fecha límite",IF(TODAY()&gt;N19,"Fecha límite vencida",IF(AND(M19&lt;&gt;"",TODAY()&lt;M19),"Por iniciar","En plazo")))))</f>
        <v/>
      </c>
      <c r="W19" s="15">
        <f>IF(A19="","",IF(IFERROR(INDEX(Seguimiento!$R20:$AM20,MATCH(Config!$B$4,Seguimiento!$R$1:$AM$1,0)),"")="","No","Sí"))</f>
        <v/>
      </c>
      <c r="X19" s="15">
        <f>IF(A19="","",COUNTIF(Seguimiento!$R$1:$AM$1,"&lt;="&amp;Config!$B$4)-SUMPRODUCT((Seguimiento!$R$1:$AM$1&lt;&gt;"")*(Seguimiento!$R$1:$AM$1&lt;=Config!$B$4)*(Seguimiento!$R20:$AM20&lt;&gt;"")))</f>
        <v/>
      </c>
      <c r="Y19" s="15">
        <f>IF(ISNUMBER(SEARCH("Ruta de Vigilancia",C19)),COUNTIF(Hitos_RutaElNino!$C$2:$C$200,"Sí")&amp;" / "&amp;COUNTIF(Hitos_RutaElNino!$A$2:$A$200,"&lt;&gt;"),"")</f>
        <v/>
      </c>
      <c r="Z19" s="15">
        <f>IF(A19="","",IF(Seguimiento!Q20="","",IF(ISNUMBER(Seguimiento!Q20),IF(Seguimiento!Q20&lt;=1,Seguimiento!Q20*100,Seguimiento!Q20),IFERROR(IF(VALUE(SUBSTITUTE(SUBSTITUTE(Seguimiento!Q20,"%",""),",","."))&lt;=1,VALUE(SUBSTITUTE(SUBSTITUTE(Seguimiento!Q20,"%",""),",","."))*100,VALUE(SUBSTITUTE(SUBSTITUTE(Seguimiento!Q20,"%",""),",","."))),""))))</f>
        <v/>
      </c>
    </row>
    <row r="20">
      <c r="A20" s="15">
        <f>IF(Seguimiento!A21="","",Seguimiento!A21)</f>
        <v/>
      </c>
      <c r="B20" s="15">
        <f>IF(Seguimiento!A21="","",Seguimiento!B21)</f>
        <v/>
      </c>
      <c r="C20" s="15">
        <f>IF(Seguimiento!A21="","",Seguimiento!C21&amp;"")</f>
        <v/>
      </c>
      <c r="D20" s="15">
        <f>IF(Seguimiento!A21="","",Seguimiento!D21&amp;"")</f>
        <v/>
      </c>
      <c r="E20" s="15">
        <f>IF(Seguimiento!A21="","",Seguimiento!E21&amp;"")</f>
        <v/>
      </c>
      <c r="F20" s="15">
        <f>IF(Seguimiento!A21="","",Seguimiento!F21&amp;"")</f>
        <v/>
      </c>
      <c r="G20" s="15">
        <f>IF(Seguimiento!A21="","",Seguimiento!G21&amp;"")</f>
        <v/>
      </c>
      <c r="H20" s="15">
        <f>IF(Seguimiento!A21="","",Seguimiento!H21&amp;"")</f>
        <v/>
      </c>
      <c r="I20" s="15">
        <f>IF(Seguimiento!A21="","",Seguimiento!I21&amp;"")</f>
        <v/>
      </c>
      <c r="J20" s="15">
        <f>IF(Seguimiento!A21="","",Seguimiento!J21&amp;"")</f>
        <v/>
      </c>
      <c r="K20" s="15">
        <f>IF(Seguimiento!A21="","",Seguimiento!M21&amp;"")</f>
        <v/>
      </c>
      <c r="L20" s="15">
        <f>IF(Seguimiento!A21="","",Seguimiento!N21&amp;"")</f>
        <v/>
      </c>
      <c r="M20" s="16">
        <f>IF(Seguimiento!K21="","",Seguimiento!K21)</f>
        <v/>
      </c>
      <c r="N20" s="16">
        <f>IF(Seguimiento!L21="","",Seguimiento!L21)</f>
        <v/>
      </c>
      <c r="O20" s="15">
        <f>IF(Seguimiento!A21="","",Seguimiento!O21&amp;"")</f>
        <v/>
      </c>
      <c r="P20" s="15">
        <f>IF(Seguimiento!A21="","",Seguimiento!P21&amp;"")</f>
        <v/>
      </c>
      <c r="Q20" s="16">
        <f>IF(A20="","",IFERROR(LOOKUP(2,1/((Seguimiento!$R$1:$AM$1&lt;&gt;"")*(Seguimiento!$R21:$AM21&lt;&gt;"")),Seguimiento!$R$1:$AM$1),"Base"))</f>
        <v/>
      </c>
      <c r="R20" s="15">
        <f>IF(A20="","",IF(ISERROR(LOOKUP(2,1/((Seguimiento!$R$1:$AM$1&lt;&gt;"")*(Seguimiento!$R21:$AM21&lt;&gt;"")),Seguimiento!$R21:$AM21)),IF(Seguimiento!Q21="","",IF(ISNUMBER(Seguimiento!Q21),IF(Seguimiento!Q21&lt;=1,Seguimiento!Q21*100,Seguimiento!Q21),IFERROR(IF(VALUE(SUBSTITUTE(SUBSTITUTE(Seguimiento!Q21,"%",""),",","."))&lt;=1,VALUE(SUBSTITUTE(SUBSTITUTE(Seguimiento!Q21,"%",""),",","."))*100,VALUE(SUBSTITUTE(SUBSTITUTE(Seguimiento!Q21,"%",""),",","."))),""))),IF(ISNUMBER(LOOKUP(2,1/((Seguimiento!$R$1:$AM$1&lt;&gt;"")*(Seguimiento!$R21:$AM21&lt;&gt;"")),Seguimiento!$R21:$AM21)),IF(LOOKUP(2,1/((Seguimiento!$R$1:$AM$1&lt;&gt;"")*(Seguimiento!$R21:$AM21&lt;&gt;"")),Seguimiento!$R21:$AM21)&lt;=1,LOOKUP(2,1/((Seguimiento!$R$1:$AM$1&lt;&gt;"")*(Seguimiento!$R21:$AM21&lt;&gt;"")),Seguimiento!$R21:$AM21)*100,LOOKUP(2,1/((Seguimiento!$R$1:$AM$1&lt;&gt;"")*(Seguimiento!$R21:$AM21&lt;&gt;"")),Seguimiento!$R21:$AM21)),IFERROR(IF(VALUE(SUBSTITUTE(SUBSTITUTE(LOOKUP(2,1/((Seguimiento!$R$1:$AM$1&lt;&gt;"")*(Seguimiento!$R21:$AM21&lt;&gt;"")),Seguimiento!$R21:$AM21),"%",""),",","."))&lt;=1,VALUE(SUBSTITUTE(SUBSTITUTE(LOOKUP(2,1/((Seguimiento!$R$1:$AM$1&lt;&gt;"")*(Seguimiento!$R21:$AM21&lt;&gt;"")),Seguimiento!$R21:$AM21),"%",""),",","."))*100,VALUE(SUBSTITUTE(SUBSTITUTE(LOOKUP(2,1/((Seguimiento!$R$1:$AM$1&lt;&gt;"")*(Seguimiento!$R21:$AM21&lt;&gt;"")),Seguimiento!$R21:$AM21),"%",""),",","."))),""))))</f>
        <v/>
      </c>
      <c r="S20" s="15">
        <f>IF(OR(A20="",Q20="Base"),"",IFERROR(INDEX(Seguimiento!$R21:$AM21,MATCH(Q20,Seguimiento!$R$1:$AM$1,0)+1)&amp;"",""))</f>
        <v/>
      </c>
      <c r="T20" s="15">
        <f>IF(A20="","",TODAY()-Config!$B$2+1)</f>
        <v/>
      </c>
      <c r="U20" s="15">
        <f>IF(OR(A20="",N20=""),"",N20-TODAY())</f>
        <v/>
      </c>
      <c r="V20" s="15">
        <f>IF(A20="","",IF(AND(R20&lt;&gt;"",R20&gt;=100),"Completada",IF(N20="","Sin fecha límite",IF(TODAY()&gt;N20,"Fecha límite vencida",IF(AND(M20&lt;&gt;"",TODAY()&lt;M20),"Por iniciar","En plazo")))))</f>
        <v/>
      </c>
      <c r="W20" s="15">
        <f>IF(A20="","",IF(IFERROR(INDEX(Seguimiento!$R21:$AM21,MATCH(Config!$B$4,Seguimiento!$R$1:$AM$1,0)),"")="","No","Sí"))</f>
        <v/>
      </c>
      <c r="X20" s="15">
        <f>IF(A20="","",COUNTIF(Seguimiento!$R$1:$AM$1,"&lt;="&amp;Config!$B$4)-SUMPRODUCT((Seguimiento!$R$1:$AM$1&lt;&gt;"")*(Seguimiento!$R$1:$AM$1&lt;=Config!$B$4)*(Seguimiento!$R21:$AM21&lt;&gt;"")))</f>
        <v/>
      </c>
      <c r="Y20" s="15">
        <f>IF(ISNUMBER(SEARCH("Ruta de Vigilancia",C20)),COUNTIF(Hitos_RutaElNino!$C$2:$C$200,"Sí")&amp;" / "&amp;COUNTIF(Hitos_RutaElNino!$A$2:$A$200,"&lt;&gt;"),"")</f>
        <v/>
      </c>
      <c r="Z20" s="15">
        <f>IF(A20="","",IF(Seguimiento!Q21="","",IF(ISNUMBER(Seguimiento!Q21),IF(Seguimiento!Q21&lt;=1,Seguimiento!Q21*100,Seguimiento!Q21),IFERROR(IF(VALUE(SUBSTITUTE(SUBSTITUTE(Seguimiento!Q21,"%",""),",","."))&lt;=1,VALUE(SUBSTITUTE(SUBSTITUTE(Seguimiento!Q21,"%",""),",","."))*100,VALUE(SUBSTITUTE(SUBSTITUTE(Seguimiento!Q21,"%",""),",","."))),""))))</f>
        <v/>
      </c>
    </row>
    <row r="21">
      <c r="A21" s="15">
        <f>IF(Seguimiento!A22="","",Seguimiento!A22)</f>
        <v/>
      </c>
      <c r="B21" s="15">
        <f>IF(Seguimiento!A22="","",Seguimiento!B22)</f>
        <v/>
      </c>
      <c r="C21" s="15">
        <f>IF(Seguimiento!A22="","",Seguimiento!C22&amp;"")</f>
        <v/>
      </c>
      <c r="D21" s="15">
        <f>IF(Seguimiento!A22="","",Seguimiento!D22&amp;"")</f>
        <v/>
      </c>
      <c r="E21" s="15">
        <f>IF(Seguimiento!A22="","",Seguimiento!E22&amp;"")</f>
        <v/>
      </c>
      <c r="F21" s="15">
        <f>IF(Seguimiento!A22="","",Seguimiento!F22&amp;"")</f>
        <v/>
      </c>
      <c r="G21" s="15">
        <f>IF(Seguimiento!A22="","",Seguimiento!G22&amp;"")</f>
        <v/>
      </c>
      <c r="H21" s="15">
        <f>IF(Seguimiento!A22="","",Seguimiento!H22&amp;"")</f>
        <v/>
      </c>
      <c r="I21" s="15">
        <f>IF(Seguimiento!A22="","",Seguimiento!I22&amp;"")</f>
        <v/>
      </c>
      <c r="J21" s="15">
        <f>IF(Seguimiento!A22="","",Seguimiento!J22&amp;"")</f>
        <v/>
      </c>
      <c r="K21" s="15">
        <f>IF(Seguimiento!A22="","",Seguimiento!M22&amp;"")</f>
        <v/>
      </c>
      <c r="L21" s="15">
        <f>IF(Seguimiento!A22="","",Seguimiento!N22&amp;"")</f>
        <v/>
      </c>
      <c r="M21" s="16">
        <f>IF(Seguimiento!K22="","",Seguimiento!K22)</f>
        <v/>
      </c>
      <c r="N21" s="16">
        <f>IF(Seguimiento!L22="","",Seguimiento!L22)</f>
        <v/>
      </c>
      <c r="O21" s="15">
        <f>IF(Seguimiento!A22="","",Seguimiento!O22&amp;"")</f>
        <v/>
      </c>
      <c r="P21" s="15">
        <f>IF(Seguimiento!A22="","",Seguimiento!P22&amp;"")</f>
        <v/>
      </c>
      <c r="Q21" s="16">
        <f>IF(A21="","",IFERROR(LOOKUP(2,1/((Seguimiento!$R$1:$AM$1&lt;&gt;"")*(Seguimiento!$R22:$AM22&lt;&gt;"")),Seguimiento!$R$1:$AM$1),"Base"))</f>
        <v/>
      </c>
      <c r="R21" s="15">
        <f>IF(A21="","",IF(ISERROR(LOOKUP(2,1/((Seguimiento!$R$1:$AM$1&lt;&gt;"")*(Seguimiento!$R22:$AM22&lt;&gt;"")),Seguimiento!$R22:$AM22)),IF(Seguimiento!Q22="","",IF(ISNUMBER(Seguimiento!Q22),IF(Seguimiento!Q22&lt;=1,Seguimiento!Q22*100,Seguimiento!Q22),IFERROR(IF(VALUE(SUBSTITUTE(SUBSTITUTE(Seguimiento!Q22,"%",""),",","."))&lt;=1,VALUE(SUBSTITUTE(SUBSTITUTE(Seguimiento!Q22,"%",""),",","."))*100,VALUE(SUBSTITUTE(SUBSTITUTE(Seguimiento!Q22,"%",""),",","."))),""))),IF(ISNUMBER(LOOKUP(2,1/((Seguimiento!$R$1:$AM$1&lt;&gt;"")*(Seguimiento!$R22:$AM22&lt;&gt;"")),Seguimiento!$R22:$AM22)),IF(LOOKUP(2,1/((Seguimiento!$R$1:$AM$1&lt;&gt;"")*(Seguimiento!$R22:$AM22&lt;&gt;"")),Seguimiento!$R22:$AM22)&lt;=1,LOOKUP(2,1/((Seguimiento!$R$1:$AM$1&lt;&gt;"")*(Seguimiento!$R22:$AM22&lt;&gt;"")),Seguimiento!$R22:$AM22)*100,LOOKUP(2,1/((Seguimiento!$R$1:$AM$1&lt;&gt;"")*(Seguimiento!$R22:$AM22&lt;&gt;"")),Seguimiento!$R22:$AM22)),IFERROR(IF(VALUE(SUBSTITUTE(SUBSTITUTE(LOOKUP(2,1/((Seguimiento!$R$1:$AM$1&lt;&gt;"")*(Seguimiento!$R22:$AM22&lt;&gt;"")),Seguimiento!$R22:$AM22),"%",""),",","."))&lt;=1,VALUE(SUBSTITUTE(SUBSTITUTE(LOOKUP(2,1/((Seguimiento!$R$1:$AM$1&lt;&gt;"")*(Seguimiento!$R22:$AM22&lt;&gt;"")),Seguimiento!$R22:$AM22),"%",""),",","."))*100,VALUE(SUBSTITUTE(SUBSTITUTE(LOOKUP(2,1/((Seguimiento!$R$1:$AM$1&lt;&gt;"")*(Seguimiento!$R22:$AM22&lt;&gt;"")),Seguimiento!$R22:$AM22),"%",""),",","."))),""))))</f>
        <v/>
      </c>
      <c r="S21" s="15">
        <f>IF(OR(A21="",Q21="Base"),"",IFERROR(INDEX(Seguimiento!$R22:$AM22,MATCH(Q21,Seguimiento!$R$1:$AM$1,0)+1)&amp;"",""))</f>
        <v/>
      </c>
      <c r="T21" s="15">
        <f>IF(A21="","",TODAY()-Config!$B$2+1)</f>
        <v/>
      </c>
      <c r="U21" s="15">
        <f>IF(OR(A21="",N21=""),"",N21-TODAY())</f>
        <v/>
      </c>
      <c r="V21" s="15">
        <f>IF(A21="","",IF(AND(R21&lt;&gt;"",R21&gt;=100),"Completada",IF(N21="","Sin fecha límite",IF(TODAY()&gt;N21,"Fecha límite vencida",IF(AND(M21&lt;&gt;"",TODAY()&lt;M21),"Por iniciar","En plazo")))))</f>
        <v/>
      </c>
      <c r="W21" s="15">
        <f>IF(A21="","",IF(IFERROR(INDEX(Seguimiento!$R22:$AM22,MATCH(Config!$B$4,Seguimiento!$R$1:$AM$1,0)),"")="","No","Sí"))</f>
        <v/>
      </c>
      <c r="X21" s="15">
        <f>IF(A21="","",COUNTIF(Seguimiento!$R$1:$AM$1,"&lt;="&amp;Config!$B$4)-SUMPRODUCT((Seguimiento!$R$1:$AM$1&lt;&gt;"")*(Seguimiento!$R$1:$AM$1&lt;=Config!$B$4)*(Seguimiento!$R22:$AM22&lt;&gt;"")))</f>
        <v/>
      </c>
      <c r="Y21" s="15">
        <f>IF(ISNUMBER(SEARCH("Ruta de Vigilancia",C21)),COUNTIF(Hitos_RutaElNino!$C$2:$C$200,"Sí")&amp;" / "&amp;COUNTIF(Hitos_RutaElNino!$A$2:$A$200,"&lt;&gt;"),"")</f>
        <v/>
      </c>
      <c r="Z21" s="15">
        <f>IF(A21="","",IF(Seguimiento!Q22="","",IF(ISNUMBER(Seguimiento!Q22),IF(Seguimiento!Q22&lt;=1,Seguimiento!Q22*100,Seguimiento!Q22),IFERROR(IF(VALUE(SUBSTITUTE(SUBSTITUTE(Seguimiento!Q22,"%",""),",","."))&lt;=1,VALUE(SUBSTITUTE(SUBSTITUTE(Seguimiento!Q22,"%",""),",","."))*100,VALUE(SUBSTITUTE(SUBSTITUTE(Seguimiento!Q22,"%",""),",","."))),""))))</f>
        <v/>
      </c>
    </row>
    <row r="22">
      <c r="A22" s="15">
        <f>IF(Seguimiento!A23="","",Seguimiento!A23)</f>
        <v/>
      </c>
      <c r="B22" s="15">
        <f>IF(Seguimiento!A23="","",Seguimiento!B23)</f>
        <v/>
      </c>
      <c r="C22" s="15">
        <f>IF(Seguimiento!A23="","",Seguimiento!C23&amp;"")</f>
        <v/>
      </c>
      <c r="D22" s="15">
        <f>IF(Seguimiento!A23="","",Seguimiento!D23&amp;"")</f>
        <v/>
      </c>
      <c r="E22" s="15">
        <f>IF(Seguimiento!A23="","",Seguimiento!E23&amp;"")</f>
        <v/>
      </c>
      <c r="F22" s="15">
        <f>IF(Seguimiento!A23="","",Seguimiento!F23&amp;"")</f>
        <v/>
      </c>
      <c r="G22" s="15">
        <f>IF(Seguimiento!A23="","",Seguimiento!G23&amp;"")</f>
        <v/>
      </c>
      <c r="H22" s="15">
        <f>IF(Seguimiento!A23="","",Seguimiento!H23&amp;"")</f>
        <v/>
      </c>
      <c r="I22" s="15">
        <f>IF(Seguimiento!A23="","",Seguimiento!I23&amp;"")</f>
        <v/>
      </c>
      <c r="J22" s="15">
        <f>IF(Seguimiento!A23="","",Seguimiento!J23&amp;"")</f>
        <v/>
      </c>
      <c r="K22" s="15">
        <f>IF(Seguimiento!A23="","",Seguimiento!M23&amp;"")</f>
        <v/>
      </c>
      <c r="L22" s="15">
        <f>IF(Seguimiento!A23="","",Seguimiento!N23&amp;"")</f>
        <v/>
      </c>
      <c r="M22" s="16">
        <f>IF(Seguimiento!K23="","",Seguimiento!K23)</f>
        <v/>
      </c>
      <c r="N22" s="16">
        <f>IF(Seguimiento!L23="","",Seguimiento!L23)</f>
        <v/>
      </c>
      <c r="O22" s="15">
        <f>IF(Seguimiento!A23="","",Seguimiento!O23&amp;"")</f>
        <v/>
      </c>
      <c r="P22" s="15">
        <f>IF(Seguimiento!A23="","",Seguimiento!P23&amp;"")</f>
        <v/>
      </c>
      <c r="Q22" s="16">
        <f>IF(A22="","",IFERROR(LOOKUP(2,1/((Seguimiento!$R$1:$AM$1&lt;&gt;"")*(Seguimiento!$R23:$AM23&lt;&gt;"")),Seguimiento!$R$1:$AM$1),"Base"))</f>
        <v/>
      </c>
      <c r="R22" s="15">
        <f>IF(A22="","",IF(ISERROR(LOOKUP(2,1/((Seguimiento!$R$1:$AM$1&lt;&gt;"")*(Seguimiento!$R23:$AM23&lt;&gt;"")),Seguimiento!$R23:$AM23)),IF(Seguimiento!Q23="","",IF(ISNUMBER(Seguimiento!Q23),IF(Seguimiento!Q23&lt;=1,Seguimiento!Q23*100,Seguimiento!Q23),IFERROR(IF(VALUE(SUBSTITUTE(SUBSTITUTE(Seguimiento!Q23,"%",""),",","."))&lt;=1,VALUE(SUBSTITUTE(SUBSTITUTE(Seguimiento!Q23,"%",""),",","."))*100,VALUE(SUBSTITUTE(SUBSTITUTE(Seguimiento!Q23,"%",""),",","."))),""))),IF(ISNUMBER(LOOKUP(2,1/((Seguimiento!$R$1:$AM$1&lt;&gt;"")*(Seguimiento!$R23:$AM23&lt;&gt;"")),Seguimiento!$R23:$AM23)),IF(LOOKUP(2,1/((Seguimiento!$R$1:$AM$1&lt;&gt;"")*(Seguimiento!$R23:$AM23&lt;&gt;"")),Seguimiento!$R23:$AM23)&lt;=1,LOOKUP(2,1/((Seguimiento!$R$1:$AM$1&lt;&gt;"")*(Seguimiento!$R23:$AM23&lt;&gt;"")),Seguimiento!$R23:$AM23)*100,LOOKUP(2,1/((Seguimiento!$R$1:$AM$1&lt;&gt;"")*(Seguimiento!$R23:$AM23&lt;&gt;"")),Seguimiento!$R23:$AM23)),IFERROR(IF(VALUE(SUBSTITUTE(SUBSTITUTE(LOOKUP(2,1/((Seguimiento!$R$1:$AM$1&lt;&gt;"")*(Seguimiento!$R23:$AM23&lt;&gt;"")),Seguimiento!$R23:$AM23),"%",""),",","."))&lt;=1,VALUE(SUBSTITUTE(SUBSTITUTE(LOOKUP(2,1/((Seguimiento!$R$1:$AM$1&lt;&gt;"")*(Seguimiento!$R23:$AM23&lt;&gt;"")),Seguimiento!$R23:$AM23),"%",""),",","."))*100,VALUE(SUBSTITUTE(SUBSTITUTE(LOOKUP(2,1/((Seguimiento!$R$1:$AM$1&lt;&gt;"")*(Seguimiento!$R23:$AM23&lt;&gt;"")),Seguimiento!$R23:$AM23),"%",""),",","."))),""))))</f>
        <v/>
      </c>
      <c r="S22" s="15">
        <f>IF(OR(A22="",Q22="Base"),"",IFERROR(INDEX(Seguimiento!$R23:$AM23,MATCH(Q22,Seguimiento!$R$1:$AM$1,0)+1)&amp;"",""))</f>
        <v/>
      </c>
      <c r="T22" s="15">
        <f>IF(A22="","",TODAY()-Config!$B$2+1)</f>
        <v/>
      </c>
      <c r="U22" s="15">
        <f>IF(OR(A22="",N22=""),"",N22-TODAY())</f>
        <v/>
      </c>
      <c r="V22" s="15">
        <f>IF(A22="","",IF(AND(R22&lt;&gt;"",R22&gt;=100),"Completada",IF(N22="","Sin fecha límite",IF(TODAY()&gt;N22,"Fecha límite vencida",IF(AND(M22&lt;&gt;"",TODAY()&lt;M22),"Por iniciar","En plazo")))))</f>
        <v/>
      </c>
      <c r="W22" s="15">
        <f>IF(A22="","",IF(IFERROR(INDEX(Seguimiento!$R23:$AM23,MATCH(Config!$B$4,Seguimiento!$R$1:$AM$1,0)),"")="","No","Sí"))</f>
        <v/>
      </c>
      <c r="X22" s="15">
        <f>IF(A22="","",COUNTIF(Seguimiento!$R$1:$AM$1,"&lt;="&amp;Config!$B$4)-SUMPRODUCT((Seguimiento!$R$1:$AM$1&lt;&gt;"")*(Seguimiento!$R$1:$AM$1&lt;=Config!$B$4)*(Seguimiento!$R23:$AM23&lt;&gt;"")))</f>
        <v/>
      </c>
      <c r="Y22" s="15">
        <f>IF(ISNUMBER(SEARCH("Ruta de Vigilancia",C22)),COUNTIF(Hitos_RutaElNino!$C$2:$C$200,"Sí")&amp;" / "&amp;COUNTIF(Hitos_RutaElNino!$A$2:$A$200,"&lt;&gt;"),"")</f>
        <v/>
      </c>
      <c r="Z22" s="15">
        <f>IF(A22="","",IF(Seguimiento!Q23="","",IF(ISNUMBER(Seguimiento!Q23),IF(Seguimiento!Q23&lt;=1,Seguimiento!Q23*100,Seguimiento!Q23),IFERROR(IF(VALUE(SUBSTITUTE(SUBSTITUTE(Seguimiento!Q23,"%",""),",","."))&lt;=1,VALUE(SUBSTITUTE(SUBSTITUTE(Seguimiento!Q23,"%",""),",","."))*100,VALUE(SUBSTITUTE(SUBSTITUTE(Seguimiento!Q23,"%",""),",","."))),""))))</f>
        <v/>
      </c>
    </row>
    <row r="23">
      <c r="A23" s="15">
        <f>IF(Seguimiento!A24="","",Seguimiento!A24)</f>
        <v/>
      </c>
      <c r="B23" s="15">
        <f>IF(Seguimiento!A24="","",Seguimiento!B24)</f>
        <v/>
      </c>
      <c r="C23" s="15">
        <f>IF(Seguimiento!A24="","",Seguimiento!C24&amp;"")</f>
        <v/>
      </c>
      <c r="D23" s="15">
        <f>IF(Seguimiento!A24="","",Seguimiento!D24&amp;"")</f>
        <v/>
      </c>
      <c r="E23" s="15">
        <f>IF(Seguimiento!A24="","",Seguimiento!E24&amp;"")</f>
        <v/>
      </c>
      <c r="F23" s="15">
        <f>IF(Seguimiento!A24="","",Seguimiento!F24&amp;"")</f>
        <v/>
      </c>
      <c r="G23" s="15">
        <f>IF(Seguimiento!A24="","",Seguimiento!G24&amp;"")</f>
        <v/>
      </c>
      <c r="H23" s="15">
        <f>IF(Seguimiento!A24="","",Seguimiento!H24&amp;"")</f>
        <v/>
      </c>
      <c r="I23" s="15">
        <f>IF(Seguimiento!A24="","",Seguimiento!I24&amp;"")</f>
        <v/>
      </c>
      <c r="J23" s="15">
        <f>IF(Seguimiento!A24="","",Seguimiento!J24&amp;"")</f>
        <v/>
      </c>
      <c r="K23" s="15">
        <f>IF(Seguimiento!A24="","",Seguimiento!M24&amp;"")</f>
        <v/>
      </c>
      <c r="L23" s="15">
        <f>IF(Seguimiento!A24="","",Seguimiento!N24&amp;"")</f>
        <v/>
      </c>
      <c r="M23" s="16">
        <f>IF(Seguimiento!K24="","",Seguimiento!K24)</f>
        <v/>
      </c>
      <c r="N23" s="16">
        <f>IF(Seguimiento!L24="","",Seguimiento!L24)</f>
        <v/>
      </c>
      <c r="O23" s="15">
        <f>IF(Seguimiento!A24="","",Seguimiento!O24&amp;"")</f>
        <v/>
      </c>
      <c r="P23" s="15">
        <f>IF(Seguimiento!A24="","",Seguimiento!P24&amp;"")</f>
        <v/>
      </c>
      <c r="Q23" s="16">
        <f>IF(A23="","",IFERROR(LOOKUP(2,1/((Seguimiento!$R$1:$AM$1&lt;&gt;"")*(Seguimiento!$R24:$AM24&lt;&gt;"")),Seguimiento!$R$1:$AM$1),"Base"))</f>
        <v/>
      </c>
      <c r="R23" s="15">
        <f>IF(A23="","",IF(ISERROR(LOOKUP(2,1/((Seguimiento!$R$1:$AM$1&lt;&gt;"")*(Seguimiento!$R24:$AM24&lt;&gt;"")),Seguimiento!$R24:$AM24)),IF(Seguimiento!Q24="","",IF(ISNUMBER(Seguimiento!Q24),IF(Seguimiento!Q24&lt;=1,Seguimiento!Q24*100,Seguimiento!Q24),IFERROR(IF(VALUE(SUBSTITUTE(SUBSTITUTE(Seguimiento!Q24,"%",""),",","."))&lt;=1,VALUE(SUBSTITUTE(SUBSTITUTE(Seguimiento!Q24,"%",""),",","."))*100,VALUE(SUBSTITUTE(SUBSTITUTE(Seguimiento!Q24,"%",""),",","."))),""))),IF(ISNUMBER(LOOKUP(2,1/((Seguimiento!$R$1:$AM$1&lt;&gt;"")*(Seguimiento!$R24:$AM24&lt;&gt;"")),Seguimiento!$R24:$AM24)),IF(LOOKUP(2,1/((Seguimiento!$R$1:$AM$1&lt;&gt;"")*(Seguimiento!$R24:$AM24&lt;&gt;"")),Seguimiento!$R24:$AM24)&lt;=1,LOOKUP(2,1/((Seguimiento!$R$1:$AM$1&lt;&gt;"")*(Seguimiento!$R24:$AM24&lt;&gt;"")),Seguimiento!$R24:$AM24)*100,LOOKUP(2,1/((Seguimiento!$R$1:$AM$1&lt;&gt;"")*(Seguimiento!$R24:$AM24&lt;&gt;"")),Seguimiento!$R24:$AM24)),IFERROR(IF(VALUE(SUBSTITUTE(SUBSTITUTE(LOOKUP(2,1/((Seguimiento!$R$1:$AM$1&lt;&gt;"")*(Seguimiento!$R24:$AM24&lt;&gt;"")),Seguimiento!$R24:$AM24),"%",""),",","."))&lt;=1,VALUE(SUBSTITUTE(SUBSTITUTE(LOOKUP(2,1/((Seguimiento!$R$1:$AM$1&lt;&gt;"")*(Seguimiento!$R24:$AM24&lt;&gt;"")),Seguimiento!$R24:$AM24),"%",""),",","."))*100,VALUE(SUBSTITUTE(SUBSTITUTE(LOOKUP(2,1/((Seguimiento!$R$1:$AM$1&lt;&gt;"")*(Seguimiento!$R24:$AM24&lt;&gt;"")),Seguimiento!$R24:$AM24),"%",""),",","."))),""))))</f>
        <v/>
      </c>
      <c r="S23" s="15">
        <f>IF(OR(A23="",Q23="Base"),"",IFERROR(INDEX(Seguimiento!$R24:$AM24,MATCH(Q23,Seguimiento!$R$1:$AM$1,0)+1)&amp;"",""))</f>
        <v/>
      </c>
      <c r="T23" s="15">
        <f>IF(A23="","",TODAY()-Config!$B$2+1)</f>
        <v/>
      </c>
      <c r="U23" s="15">
        <f>IF(OR(A23="",N23=""),"",N23-TODAY())</f>
        <v/>
      </c>
      <c r="V23" s="15">
        <f>IF(A23="","",IF(AND(R23&lt;&gt;"",R23&gt;=100),"Completada",IF(N23="","Sin fecha límite",IF(TODAY()&gt;N23,"Fecha límite vencida",IF(AND(M23&lt;&gt;"",TODAY()&lt;M23),"Por iniciar","En plazo")))))</f>
        <v/>
      </c>
      <c r="W23" s="15">
        <f>IF(A23="","",IF(IFERROR(INDEX(Seguimiento!$R24:$AM24,MATCH(Config!$B$4,Seguimiento!$R$1:$AM$1,0)),"")="","No","Sí"))</f>
        <v/>
      </c>
      <c r="X23" s="15">
        <f>IF(A23="","",COUNTIF(Seguimiento!$R$1:$AM$1,"&lt;="&amp;Config!$B$4)-SUMPRODUCT((Seguimiento!$R$1:$AM$1&lt;&gt;"")*(Seguimiento!$R$1:$AM$1&lt;=Config!$B$4)*(Seguimiento!$R24:$AM24&lt;&gt;"")))</f>
        <v/>
      </c>
      <c r="Y23" s="15">
        <f>IF(ISNUMBER(SEARCH("Ruta de Vigilancia",C23)),COUNTIF(Hitos_RutaElNino!$C$2:$C$200,"Sí")&amp;" / "&amp;COUNTIF(Hitos_RutaElNino!$A$2:$A$200,"&lt;&gt;"),"")</f>
        <v/>
      </c>
      <c r="Z23" s="15">
        <f>IF(A23="","",IF(Seguimiento!Q24="","",IF(ISNUMBER(Seguimiento!Q24),IF(Seguimiento!Q24&lt;=1,Seguimiento!Q24*100,Seguimiento!Q24),IFERROR(IF(VALUE(SUBSTITUTE(SUBSTITUTE(Seguimiento!Q24,"%",""),",","."))&lt;=1,VALUE(SUBSTITUTE(SUBSTITUTE(Seguimiento!Q24,"%",""),",","."))*100,VALUE(SUBSTITUTE(SUBSTITUTE(Seguimiento!Q24,"%",""),",","."))),""))))</f>
        <v/>
      </c>
    </row>
    <row r="24">
      <c r="A24" s="15">
        <f>IF(Seguimiento!A25="","",Seguimiento!A25)</f>
        <v/>
      </c>
      <c r="B24" s="15">
        <f>IF(Seguimiento!A25="","",Seguimiento!B25)</f>
        <v/>
      </c>
      <c r="C24" s="15">
        <f>IF(Seguimiento!A25="","",Seguimiento!C25&amp;"")</f>
        <v/>
      </c>
      <c r="D24" s="15">
        <f>IF(Seguimiento!A25="","",Seguimiento!D25&amp;"")</f>
        <v/>
      </c>
      <c r="E24" s="15">
        <f>IF(Seguimiento!A25="","",Seguimiento!E25&amp;"")</f>
        <v/>
      </c>
      <c r="F24" s="15">
        <f>IF(Seguimiento!A25="","",Seguimiento!F25&amp;"")</f>
        <v/>
      </c>
      <c r="G24" s="15">
        <f>IF(Seguimiento!A25="","",Seguimiento!G25&amp;"")</f>
        <v/>
      </c>
      <c r="H24" s="15">
        <f>IF(Seguimiento!A25="","",Seguimiento!H25&amp;"")</f>
        <v/>
      </c>
      <c r="I24" s="15">
        <f>IF(Seguimiento!A25="","",Seguimiento!I25&amp;"")</f>
        <v/>
      </c>
      <c r="J24" s="15">
        <f>IF(Seguimiento!A25="","",Seguimiento!J25&amp;"")</f>
        <v/>
      </c>
      <c r="K24" s="15">
        <f>IF(Seguimiento!A25="","",Seguimiento!M25&amp;"")</f>
        <v/>
      </c>
      <c r="L24" s="15">
        <f>IF(Seguimiento!A25="","",Seguimiento!N25&amp;"")</f>
        <v/>
      </c>
      <c r="M24" s="16">
        <f>IF(Seguimiento!K25="","",Seguimiento!K25)</f>
        <v/>
      </c>
      <c r="N24" s="16">
        <f>IF(Seguimiento!L25="","",Seguimiento!L25)</f>
        <v/>
      </c>
      <c r="O24" s="15">
        <f>IF(Seguimiento!A25="","",Seguimiento!O25&amp;"")</f>
        <v/>
      </c>
      <c r="P24" s="15">
        <f>IF(Seguimiento!A25="","",Seguimiento!P25&amp;"")</f>
        <v/>
      </c>
      <c r="Q24" s="16">
        <f>IF(A24="","",IFERROR(LOOKUP(2,1/((Seguimiento!$R$1:$AM$1&lt;&gt;"")*(Seguimiento!$R25:$AM25&lt;&gt;"")),Seguimiento!$R$1:$AM$1),"Base"))</f>
        <v/>
      </c>
      <c r="R24" s="15">
        <f>IF(A24="","",IF(ISERROR(LOOKUP(2,1/((Seguimiento!$R$1:$AM$1&lt;&gt;"")*(Seguimiento!$R25:$AM25&lt;&gt;"")),Seguimiento!$R25:$AM25)),IF(Seguimiento!Q25="","",IF(ISNUMBER(Seguimiento!Q25),IF(Seguimiento!Q25&lt;=1,Seguimiento!Q25*100,Seguimiento!Q25),IFERROR(IF(VALUE(SUBSTITUTE(SUBSTITUTE(Seguimiento!Q25,"%",""),",","."))&lt;=1,VALUE(SUBSTITUTE(SUBSTITUTE(Seguimiento!Q25,"%",""),",","."))*100,VALUE(SUBSTITUTE(SUBSTITUTE(Seguimiento!Q25,"%",""),",","."))),""))),IF(ISNUMBER(LOOKUP(2,1/((Seguimiento!$R$1:$AM$1&lt;&gt;"")*(Seguimiento!$R25:$AM25&lt;&gt;"")),Seguimiento!$R25:$AM25)),IF(LOOKUP(2,1/((Seguimiento!$R$1:$AM$1&lt;&gt;"")*(Seguimiento!$R25:$AM25&lt;&gt;"")),Seguimiento!$R25:$AM25)&lt;=1,LOOKUP(2,1/((Seguimiento!$R$1:$AM$1&lt;&gt;"")*(Seguimiento!$R25:$AM25&lt;&gt;"")),Seguimiento!$R25:$AM25)*100,LOOKUP(2,1/((Seguimiento!$R$1:$AM$1&lt;&gt;"")*(Seguimiento!$R25:$AM25&lt;&gt;"")),Seguimiento!$R25:$AM25)),IFERROR(IF(VALUE(SUBSTITUTE(SUBSTITUTE(LOOKUP(2,1/((Seguimiento!$R$1:$AM$1&lt;&gt;"")*(Seguimiento!$R25:$AM25&lt;&gt;"")),Seguimiento!$R25:$AM25),"%",""),",","."))&lt;=1,VALUE(SUBSTITUTE(SUBSTITUTE(LOOKUP(2,1/((Seguimiento!$R$1:$AM$1&lt;&gt;"")*(Seguimiento!$R25:$AM25&lt;&gt;"")),Seguimiento!$R25:$AM25),"%",""),",","."))*100,VALUE(SUBSTITUTE(SUBSTITUTE(LOOKUP(2,1/((Seguimiento!$R$1:$AM$1&lt;&gt;"")*(Seguimiento!$R25:$AM25&lt;&gt;"")),Seguimiento!$R25:$AM25),"%",""),",","."))),""))))</f>
        <v/>
      </c>
      <c r="S24" s="15">
        <f>IF(OR(A24="",Q24="Base"),"",IFERROR(INDEX(Seguimiento!$R25:$AM25,MATCH(Q24,Seguimiento!$R$1:$AM$1,0)+1)&amp;"",""))</f>
        <v/>
      </c>
      <c r="T24" s="15">
        <f>IF(A24="","",TODAY()-Config!$B$2+1)</f>
        <v/>
      </c>
      <c r="U24" s="15">
        <f>IF(OR(A24="",N24=""),"",N24-TODAY())</f>
        <v/>
      </c>
      <c r="V24" s="15">
        <f>IF(A24="","",IF(AND(R24&lt;&gt;"",R24&gt;=100),"Completada",IF(N24="","Sin fecha límite",IF(TODAY()&gt;N24,"Fecha límite vencida",IF(AND(M24&lt;&gt;"",TODAY()&lt;M24),"Por iniciar","En plazo")))))</f>
        <v/>
      </c>
      <c r="W24" s="15">
        <f>IF(A24="","",IF(IFERROR(INDEX(Seguimiento!$R25:$AM25,MATCH(Config!$B$4,Seguimiento!$R$1:$AM$1,0)),"")="","No","Sí"))</f>
        <v/>
      </c>
      <c r="X24" s="15">
        <f>IF(A24="","",COUNTIF(Seguimiento!$R$1:$AM$1,"&lt;="&amp;Config!$B$4)-SUMPRODUCT((Seguimiento!$R$1:$AM$1&lt;&gt;"")*(Seguimiento!$R$1:$AM$1&lt;=Config!$B$4)*(Seguimiento!$R25:$AM25&lt;&gt;"")))</f>
        <v/>
      </c>
      <c r="Y24" s="15">
        <f>IF(ISNUMBER(SEARCH("Ruta de Vigilancia",C24)),COUNTIF(Hitos_RutaElNino!$C$2:$C$200,"Sí")&amp;" / "&amp;COUNTIF(Hitos_RutaElNino!$A$2:$A$200,"&lt;&gt;"),"")</f>
        <v/>
      </c>
      <c r="Z24" s="15">
        <f>IF(A24="","",IF(Seguimiento!Q25="","",IF(ISNUMBER(Seguimiento!Q25),IF(Seguimiento!Q25&lt;=1,Seguimiento!Q25*100,Seguimiento!Q25),IFERROR(IF(VALUE(SUBSTITUTE(SUBSTITUTE(Seguimiento!Q25,"%",""),",","."))&lt;=1,VALUE(SUBSTITUTE(SUBSTITUTE(Seguimiento!Q25,"%",""),",","."))*100,VALUE(SUBSTITUTE(SUBSTITUTE(Seguimiento!Q25,"%",""),",","."))),""))))</f>
        <v/>
      </c>
    </row>
  </sheetData>
  <conditionalFormatting sqref="K2:K24">
    <cfRule type="cellIs" priority="1" operator="equal" dxfId="0">
      <formula>"Sin iniciar"</formula>
    </cfRule>
    <cfRule type="cellIs" priority="2" operator="equal" dxfId="1">
      <formula>"En proceso"</formula>
    </cfRule>
    <cfRule type="cellIs" priority="3" operator="equal" dxfId="2">
      <formula>"Con riesgo / retraso"</formula>
    </cfRule>
    <cfRule type="cellIs" priority="4" operator="equal" dxfId="3">
      <formula>"Completado"</formula>
    </cfRule>
    <cfRule type="cellIs" priority="5" operator="equal" dxfId="4">
      <formula>"Reprogramado"</formula>
    </cfRule>
  </conditionalFormatting>
  <conditionalFormatting sqref="V2:V24">
    <cfRule type="cellIs" priority="6" operator="equal" dxfId="3">
      <formula>"Completada"</formula>
    </cfRule>
    <cfRule type="cellIs" priority="7" operator="equal" dxfId="6">
      <formula>"En plazo"</formula>
    </cfRule>
    <cfRule type="cellIs" priority="8" operator="equal" dxfId="7">
      <formula>"Por iniciar"</formula>
    </cfRule>
    <cfRule type="cellIs" priority="9" operator="equal" dxfId="8">
      <formula>"Fecha límite vencida"</formula>
    </cfRule>
    <cfRule type="cellIs" priority="10" operator="equal" dxfId="0">
      <formula>"Sin fecha límite"</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77"/>
  <sheetViews>
    <sheetView workbookViewId="0">
      <pane ySplit="1" topLeftCell="A2" activePane="bottomLeft" state="frozen"/>
      <selection pane="bottomLeft" activeCell="A1" sqref="A1"/>
    </sheetView>
  </sheetViews>
  <sheetFormatPr baseColWidth="8" defaultRowHeight="15"/>
  <cols>
    <col width="17" customWidth="1" min="1" max="1"/>
    <col width="9" customWidth="1" min="2" max="2"/>
    <col width="40" customWidth="1" min="3" max="3"/>
    <col width="12" customWidth="1" min="4" max="4"/>
    <col width="10" customWidth="1" min="5" max="5"/>
    <col width="40" customWidth="1" min="6" max="6"/>
  </cols>
  <sheetData>
    <row r="1" ht="30" customHeight="1">
      <c r="A1" s="7" t="inlineStr">
        <is>
          <t>ID</t>
        </is>
      </c>
      <c r="B1" s="7" t="inlineStr">
        <is>
          <t>Dirección</t>
        </is>
      </c>
      <c r="C1" s="7" t="inlineStr">
        <is>
          <t>Nombre corto</t>
        </is>
      </c>
      <c r="D1" s="7" t="inlineStr">
        <is>
          <t>Fecha de corte</t>
        </is>
      </c>
      <c r="E1" s="7" t="inlineStr">
        <is>
          <t>Avance (%)</t>
        </is>
      </c>
      <c r="F1" s="7" t="inlineStr">
        <is>
          <t>Acciones</t>
        </is>
      </c>
    </row>
    <row r="2">
      <c r="A2" s="15">
        <f>IF(Seguimiento!$A$3="","",Seguimiento!$A$3)</f>
        <v/>
      </c>
      <c r="B2" s="15">
        <f>IF(Seguimiento!$A$3="","",Seguimiento!$B$3)</f>
        <v/>
      </c>
      <c r="C2" s="15">
        <f>IF(Seguimiento!$A$3="","",Seguimiento!$C$3&amp;"")</f>
        <v/>
      </c>
      <c r="D2" s="16" t="n">
        <v>46297</v>
      </c>
      <c r="E2" s="15">
        <f>IF(Seguimiento!$Q$3="","",IF(ISNUMBER(Seguimiento!$Q$3),IF(Seguimiento!$Q$3&lt;=1,Seguimiento!$Q$3*100,Seguimiento!$Q$3),IFERROR(IF(VALUE(SUBSTITUTE(SUBSTITUTE(Seguimiento!$Q$3,"%",""),",","."))&lt;=1,VALUE(SUBSTITUTE(SUBSTITUTE(Seguimiento!$Q$3,"%",""),",","."))*100,VALUE(SUBSTITUTE(SUBSTITUTE(Seguimiento!$Q$3,"%",""),",","."))),"")))</f>
        <v/>
      </c>
      <c r="F2" s="15">
        <f>IF(Seguimiento!$Q$3="","","Avance inicial (matriz MINAM)")</f>
        <v/>
      </c>
    </row>
    <row r="3">
      <c r="A3" s="15">
        <f>IF(Seguimiento!$A$3="","",Seguimiento!$A$3)</f>
        <v/>
      </c>
      <c r="B3" s="15">
        <f>IF(Seguimiento!$A$3="","",Seguimiento!$B$3)</f>
        <v/>
      </c>
      <c r="C3" s="15">
        <f>IF(Seguimiento!$A$3="","",Seguimiento!$C$3&amp;"")</f>
        <v/>
      </c>
      <c r="D3" s="16" t="n">
        <v>46304</v>
      </c>
      <c r="E3" s="15">
        <f>IF(Seguimiento!$R$3="","",IF(ISNUMBER(Seguimiento!$R$3),IF(Seguimiento!$R$3&lt;=1,Seguimiento!$R$3*100,Seguimiento!$R$3),IFERROR(IF(VALUE(SUBSTITUTE(SUBSTITUTE(Seguimiento!$R$3,"%",""),",","."))&lt;=1,VALUE(SUBSTITUTE(SUBSTITUTE(Seguimiento!$R$3,"%",""),",","."))*100,VALUE(SUBSTITUTE(SUBSTITUTE(Seguimiento!$R$3,"%",""),",","."))),"")))</f>
        <v/>
      </c>
      <c r="F3" s="15">
        <f>IF(Seguimiento!$R$3="","",Seguimiento!$S$3&amp;"")</f>
        <v/>
      </c>
    </row>
    <row r="4">
      <c r="A4" s="15">
        <f>IF(Seguimiento!$A$3="","",Seguimiento!$A$3)</f>
        <v/>
      </c>
      <c r="B4" s="15">
        <f>IF(Seguimiento!$A$3="","",Seguimiento!$B$3)</f>
        <v/>
      </c>
      <c r="C4" s="15">
        <f>IF(Seguimiento!$A$3="","",Seguimiento!$C$3&amp;"")</f>
        <v/>
      </c>
      <c r="D4" s="16" t="n">
        <v>46311</v>
      </c>
      <c r="E4" s="15">
        <f>IF(Seguimiento!$T$3="","",IF(ISNUMBER(Seguimiento!$T$3),IF(Seguimiento!$T$3&lt;=1,Seguimiento!$T$3*100,Seguimiento!$T$3),IFERROR(IF(VALUE(SUBSTITUTE(SUBSTITUTE(Seguimiento!$T$3,"%",""),",","."))&lt;=1,VALUE(SUBSTITUTE(SUBSTITUTE(Seguimiento!$T$3,"%",""),",","."))*100,VALUE(SUBSTITUTE(SUBSTITUTE(Seguimiento!$T$3,"%",""),",","."))),"")))</f>
        <v/>
      </c>
      <c r="F4" s="15">
        <f>IF(Seguimiento!$T$3="","",Seguimiento!$U$3&amp;"")</f>
        <v/>
      </c>
    </row>
    <row r="5">
      <c r="A5" s="15">
        <f>IF(Seguimiento!$A$3="","",Seguimiento!$A$3)</f>
        <v/>
      </c>
      <c r="B5" s="15">
        <f>IF(Seguimiento!$A$3="","",Seguimiento!$B$3)</f>
        <v/>
      </c>
      <c r="C5" s="15">
        <f>IF(Seguimiento!$A$3="","",Seguimiento!$C$3&amp;"")</f>
        <v/>
      </c>
      <c r="D5" s="16" t="n">
        <v>46318</v>
      </c>
      <c r="E5" s="15">
        <f>IF(Seguimiento!$V$3="","",IF(ISNUMBER(Seguimiento!$V$3),IF(Seguimiento!$V$3&lt;=1,Seguimiento!$V$3*100,Seguimiento!$V$3),IFERROR(IF(VALUE(SUBSTITUTE(SUBSTITUTE(Seguimiento!$V$3,"%",""),",","."))&lt;=1,VALUE(SUBSTITUTE(SUBSTITUTE(Seguimiento!$V$3,"%",""),",","."))*100,VALUE(SUBSTITUTE(SUBSTITUTE(Seguimiento!$V$3,"%",""),",","."))),"")))</f>
        <v/>
      </c>
      <c r="F5" s="15">
        <f>IF(Seguimiento!$V$3="","",Seguimiento!$W$3&amp;"")</f>
        <v/>
      </c>
    </row>
    <row r="6">
      <c r="A6" s="15">
        <f>IF(Seguimiento!$A$3="","",Seguimiento!$A$3)</f>
        <v/>
      </c>
      <c r="B6" s="15">
        <f>IF(Seguimiento!$A$3="","",Seguimiento!$B$3)</f>
        <v/>
      </c>
      <c r="C6" s="15">
        <f>IF(Seguimiento!$A$3="","",Seguimiento!$C$3&amp;"")</f>
        <v/>
      </c>
      <c r="D6" s="16" t="n">
        <v>46325</v>
      </c>
      <c r="E6" s="15">
        <f>IF(Seguimiento!$X$3="","",IF(ISNUMBER(Seguimiento!$X$3),IF(Seguimiento!$X$3&lt;=1,Seguimiento!$X$3*100,Seguimiento!$X$3),IFERROR(IF(VALUE(SUBSTITUTE(SUBSTITUTE(Seguimiento!$X$3,"%",""),",","."))&lt;=1,VALUE(SUBSTITUTE(SUBSTITUTE(Seguimiento!$X$3,"%",""),",","."))*100,VALUE(SUBSTITUTE(SUBSTITUTE(Seguimiento!$X$3,"%",""),",","."))),"")))</f>
        <v/>
      </c>
      <c r="F6" s="15">
        <f>IF(Seguimiento!$X$3="","",Seguimiento!$Y$3&amp;"")</f>
        <v/>
      </c>
    </row>
    <row r="7">
      <c r="A7" s="15">
        <f>IF(Seguimiento!$A$3="","",Seguimiento!$A$3)</f>
        <v/>
      </c>
      <c r="B7" s="15">
        <f>IF(Seguimiento!$A$3="","",Seguimiento!$B$3)</f>
        <v/>
      </c>
      <c r="C7" s="15">
        <f>IF(Seguimiento!$A$3="","",Seguimiento!$C$3&amp;"")</f>
        <v/>
      </c>
      <c r="D7" s="16" t="n">
        <v>46332</v>
      </c>
      <c r="E7" s="15">
        <f>IF(Seguimiento!$Z$3="","",IF(ISNUMBER(Seguimiento!$Z$3),IF(Seguimiento!$Z$3&lt;=1,Seguimiento!$Z$3*100,Seguimiento!$Z$3),IFERROR(IF(VALUE(SUBSTITUTE(SUBSTITUTE(Seguimiento!$Z$3,"%",""),",","."))&lt;=1,VALUE(SUBSTITUTE(SUBSTITUTE(Seguimiento!$Z$3,"%",""),",","."))*100,VALUE(SUBSTITUTE(SUBSTITUTE(Seguimiento!$Z$3,"%",""),",","."))),"")))</f>
        <v/>
      </c>
      <c r="F7" s="15">
        <f>IF(Seguimiento!$Z$3="","",Seguimiento!$AA$3&amp;"")</f>
        <v/>
      </c>
    </row>
    <row r="8">
      <c r="A8" s="15">
        <f>IF(Seguimiento!$A$3="","",Seguimiento!$A$3)</f>
        <v/>
      </c>
      <c r="B8" s="15">
        <f>IF(Seguimiento!$A$3="","",Seguimiento!$B$3)</f>
        <v/>
      </c>
      <c r="C8" s="15">
        <f>IF(Seguimiento!$A$3="","",Seguimiento!$C$3&amp;"")</f>
        <v/>
      </c>
      <c r="D8" s="16" t="n">
        <v>46339</v>
      </c>
      <c r="E8" s="15">
        <f>IF(Seguimiento!$AB$3="","",IF(ISNUMBER(Seguimiento!$AB$3),IF(Seguimiento!$AB$3&lt;=1,Seguimiento!$AB$3*100,Seguimiento!$AB$3),IFERROR(IF(VALUE(SUBSTITUTE(SUBSTITUTE(Seguimiento!$AB$3,"%",""),",","."))&lt;=1,VALUE(SUBSTITUTE(SUBSTITUTE(Seguimiento!$AB$3,"%",""),",","."))*100,VALUE(SUBSTITUTE(SUBSTITUTE(Seguimiento!$AB$3,"%",""),",","."))),"")))</f>
        <v/>
      </c>
      <c r="F8" s="15">
        <f>IF(Seguimiento!$AB$3="","",Seguimiento!$AC$3&amp;"")</f>
        <v/>
      </c>
    </row>
    <row r="9">
      <c r="A9" s="15">
        <f>IF(Seguimiento!$A$3="","",Seguimiento!$A$3)</f>
        <v/>
      </c>
      <c r="B9" s="15">
        <f>IF(Seguimiento!$A$3="","",Seguimiento!$B$3)</f>
        <v/>
      </c>
      <c r="C9" s="15">
        <f>IF(Seguimiento!$A$3="","",Seguimiento!$C$3&amp;"")</f>
        <v/>
      </c>
      <c r="D9" s="16" t="n">
        <v>46346</v>
      </c>
      <c r="E9" s="15">
        <f>IF(Seguimiento!$AD$3="","",IF(ISNUMBER(Seguimiento!$AD$3),IF(Seguimiento!$AD$3&lt;=1,Seguimiento!$AD$3*100,Seguimiento!$AD$3),IFERROR(IF(VALUE(SUBSTITUTE(SUBSTITUTE(Seguimiento!$AD$3,"%",""),",","."))&lt;=1,VALUE(SUBSTITUTE(SUBSTITUTE(Seguimiento!$AD$3,"%",""),",","."))*100,VALUE(SUBSTITUTE(SUBSTITUTE(Seguimiento!$AD$3,"%",""),",","."))),"")))</f>
        <v/>
      </c>
      <c r="F9" s="15">
        <f>IF(Seguimiento!$AD$3="","",Seguimiento!$AE$3&amp;"")</f>
        <v/>
      </c>
    </row>
    <row r="10">
      <c r="A10" s="15">
        <f>IF(Seguimiento!$A$3="","",Seguimiento!$A$3)</f>
        <v/>
      </c>
      <c r="B10" s="15">
        <f>IF(Seguimiento!$A$3="","",Seguimiento!$B$3)</f>
        <v/>
      </c>
      <c r="C10" s="15">
        <f>IF(Seguimiento!$A$3="","",Seguimiento!$C$3&amp;"")</f>
        <v/>
      </c>
      <c r="D10" s="16" t="n">
        <v>46353</v>
      </c>
      <c r="E10" s="15">
        <f>IF(Seguimiento!$AF$3="","",IF(ISNUMBER(Seguimiento!$AF$3),IF(Seguimiento!$AF$3&lt;=1,Seguimiento!$AF$3*100,Seguimiento!$AF$3),IFERROR(IF(VALUE(SUBSTITUTE(SUBSTITUTE(Seguimiento!$AF$3,"%",""),",","."))&lt;=1,VALUE(SUBSTITUTE(SUBSTITUTE(Seguimiento!$AF$3,"%",""),",","."))*100,VALUE(SUBSTITUTE(SUBSTITUTE(Seguimiento!$AF$3,"%",""),",","."))),"")))</f>
        <v/>
      </c>
      <c r="F10" s="15">
        <f>IF(Seguimiento!$AF$3="","",Seguimiento!$AG$3&amp;"")</f>
        <v/>
      </c>
    </row>
    <row r="11">
      <c r="A11" s="15">
        <f>IF(Seguimiento!$A$3="","",Seguimiento!$A$3)</f>
        <v/>
      </c>
      <c r="B11" s="15">
        <f>IF(Seguimiento!$A$3="","",Seguimiento!$B$3)</f>
        <v/>
      </c>
      <c r="C11" s="15">
        <f>IF(Seguimiento!$A$3="","",Seguimiento!$C$3&amp;"")</f>
        <v/>
      </c>
      <c r="D11" s="16" t="n">
        <v>46360</v>
      </c>
      <c r="E11" s="15">
        <f>IF(Seguimiento!$AH$3="","",IF(ISNUMBER(Seguimiento!$AH$3),IF(Seguimiento!$AH$3&lt;=1,Seguimiento!$AH$3*100,Seguimiento!$AH$3),IFERROR(IF(VALUE(SUBSTITUTE(SUBSTITUTE(Seguimiento!$AH$3,"%",""),",","."))&lt;=1,VALUE(SUBSTITUTE(SUBSTITUTE(Seguimiento!$AH$3,"%",""),",","."))*100,VALUE(SUBSTITUTE(SUBSTITUTE(Seguimiento!$AH$3,"%",""),",","."))),"")))</f>
        <v/>
      </c>
      <c r="F11" s="15">
        <f>IF(Seguimiento!$AH$3="","",Seguimiento!$AI$3&amp;"")</f>
        <v/>
      </c>
    </row>
    <row r="12">
      <c r="A12" s="15">
        <f>IF(Seguimiento!$A$3="","",Seguimiento!$A$3)</f>
        <v/>
      </c>
      <c r="B12" s="15">
        <f>IF(Seguimiento!$A$3="","",Seguimiento!$B$3)</f>
        <v/>
      </c>
      <c r="C12" s="15">
        <f>IF(Seguimiento!$A$3="","",Seguimiento!$C$3&amp;"")</f>
        <v/>
      </c>
      <c r="D12" s="16" t="n">
        <v>46367</v>
      </c>
      <c r="E12" s="15">
        <f>IF(Seguimiento!$AJ$3="","",IF(ISNUMBER(Seguimiento!$AJ$3),IF(Seguimiento!$AJ$3&lt;=1,Seguimiento!$AJ$3*100,Seguimiento!$AJ$3),IFERROR(IF(VALUE(SUBSTITUTE(SUBSTITUTE(Seguimiento!$AJ$3,"%",""),",","."))&lt;=1,VALUE(SUBSTITUTE(SUBSTITUTE(Seguimiento!$AJ$3,"%",""),",","."))*100,VALUE(SUBSTITUTE(SUBSTITUTE(Seguimiento!$AJ$3,"%",""),",","."))),"")))</f>
        <v/>
      </c>
      <c r="F12" s="15">
        <f>IF(Seguimiento!$AJ$3="","",Seguimiento!$AK$3&amp;"")</f>
        <v/>
      </c>
    </row>
    <row r="13">
      <c r="A13" s="15">
        <f>IF(Seguimiento!$A$3="","",Seguimiento!$A$3)</f>
        <v/>
      </c>
      <c r="B13" s="15">
        <f>IF(Seguimiento!$A$3="","",Seguimiento!$B$3)</f>
        <v/>
      </c>
      <c r="C13" s="15">
        <f>IF(Seguimiento!$A$3="","",Seguimiento!$C$3&amp;"")</f>
        <v/>
      </c>
      <c r="D13" s="16" t="n">
        <v>46374</v>
      </c>
      <c r="E13" s="15">
        <f>IF(Seguimiento!$AL$3="","",IF(ISNUMBER(Seguimiento!$AL$3),IF(Seguimiento!$AL$3&lt;=1,Seguimiento!$AL$3*100,Seguimiento!$AL$3),IFERROR(IF(VALUE(SUBSTITUTE(SUBSTITUTE(Seguimiento!$AL$3,"%",""),",","."))&lt;=1,VALUE(SUBSTITUTE(SUBSTITUTE(Seguimiento!$AL$3,"%",""),",","."))*100,VALUE(SUBSTITUTE(SUBSTITUTE(Seguimiento!$AL$3,"%",""),",","."))),"")))</f>
        <v/>
      </c>
      <c r="F13" s="15">
        <f>IF(Seguimiento!$AL$3="","",Seguimiento!$AM$3&amp;"")</f>
        <v/>
      </c>
    </row>
    <row r="14">
      <c r="A14" s="15">
        <f>IF(Seguimiento!$A$4="","",Seguimiento!$A$4)</f>
        <v/>
      </c>
      <c r="B14" s="15">
        <f>IF(Seguimiento!$A$4="","",Seguimiento!$B$4)</f>
        <v/>
      </c>
      <c r="C14" s="15">
        <f>IF(Seguimiento!$A$4="","",Seguimiento!$C$4&amp;"")</f>
        <v/>
      </c>
      <c r="D14" s="16" t="n">
        <v>46297</v>
      </c>
      <c r="E14" s="15">
        <f>IF(Seguimiento!$Q$4="","",IF(ISNUMBER(Seguimiento!$Q$4),IF(Seguimiento!$Q$4&lt;=1,Seguimiento!$Q$4*100,Seguimiento!$Q$4),IFERROR(IF(VALUE(SUBSTITUTE(SUBSTITUTE(Seguimiento!$Q$4,"%",""),",","."))&lt;=1,VALUE(SUBSTITUTE(SUBSTITUTE(Seguimiento!$Q$4,"%",""),",","."))*100,VALUE(SUBSTITUTE(SUBSTITUTE(Seguimiento!$Q$4,"%",""),",","."))),"")))</f>
        <v/>
      </c>
      <c r="F14" s="15">
        <f>IF(Seguimiento!$Q$4="","","Avance inicial (matriz MINAM)")</f>
        <v/>
      </c>
    </row>
    <row r="15">
      <c r="A15" s="15">
        <f>IF(Seguimiento!$A$4="","",Seguimiento!$A$4)</f>
        <v/>
      </c>
      <c r="B15" s="15">
        <f>IF(Seguimiento!$A$4="","",Seguimiento!$B$4)</f>
        <v/>
      </c>
      <c r="C15" s="15">
        <f>IF(Seguimiento!$A$4="","",Seguimiento!$C$4&amp;"")</f>
        <v/>
      </c>
      <c r="D15" s="16" t="n">
        <v>46304</v>
      </c>
      <c r="E15" s="15">
        <f>IF(Seguimiento!$R$4="","",IF(ISNUMBER(Seguimiento!$R$4),IF(Seguimiento!$R$4&lt;=1,Seguimiento!$R$4*100,Seguimiento!$R$4),IFERROR(IF(VALUE(SUBSTITUTE(SUBSTITUTE(Seguimiento!$R$4,"%",""),",","."))&lt;=1,VALUE(SUBSTITUTE(SUBSTITUTE(Seguimiento!$R$4,"%",""),",","."))*100,VALUE(SUBSTITUTE(SUBSTITUTE(Seguimiento!$R$4,"%",""),",","."))),"")))</f>
        <v/>
      </c>
      <c r="F15" s="15">
        <f>IF(Seguimiento!$R$4="","",Seguimiento!$S$4&amp;"")</f>
        <v/>
      </c>
    </row>
    <row r="16">
      <c r="A16" s="15">
        <f>IF(Seguimiento!$A$4="","",Seguimiento!$A$4)</f>
        <v/>
      </c>
      <c r="B16" s="15">
        <f>IF(Seguimiento!$A$4="","",Seguimiento!$B$4)</f>
        <v/>
      </c>
      <c r="C16" s="15">
        <f>IF(Seguimiento!$A$4="","",Seguimiento!$C$4&amp;"")</f>
        <v/>
      </c>
      <c r="D16" s="16" t="n">
        <v>46311</v>
      </c>
      <c r="E16" s="15">
        <f>IF(Seguimiento!$T$4="","",IF(ISNUMBER(Seguimiento!$T$4),IF(Seguimiento!$T$4&lt;=1,Seguimiento!$T$4*100,Seguimiento!$T$4),IFERROR(IF(VALUE(SUBSTITUTE(SUBSTITUTE(Seguimiento!$T$4,"%",""),",","."))&lt;=1,VALUE(SUBSTITUTE(SUBSTITUTE(Seguimiento!$T$4,"%",""),",","."))*100,VALUE(SUBSTITUTE(SUBSTITUTE(Seguimiento!$T$4,"%",""),",","."))),"")))</f>
        <v/>
      </c>
      <c r="F16" s="15">
        <f>IF(Seguimiento!$T$4="","",Seguimiento!$U$4&amp;"")</f>
        <v/>
      </c>
    </row>
    <row r="17">
      <c r="A17" s="15">
        <f>IF(Seguimiento!$A$4="","",Seguimiento!$A$4)</f>
        <v/>
      </c>
      <c r="B17" s="15">
        <f>IF(Seguimiento!$A$4="","",Seguimiento!$B$4)</f>
        <v/>
      </c>
      <c r="C17" s="15">
        <f>IF(Seguimiento!$A$4="","",Seguimiento!$C$4&amp;"")</f>
        <v/>
      </c>
      <c r="D17" s="16" t="n">
        <v>46318</v>
      </c>
      <c r="E17" s="15">
        <f>IF(Seguimiento!$V$4="","",IF(ISNUMBER(Seguimiento!$V$4),IF(Seguimiento!$V$4&lt;=1,Seguimiento!$V$4*100,Seguimiento!$V$4),IFERROR(IF(VALUE(SUBSTITUTE(SUBSTITUTE(Seguimiento!$V$4,"%",""),",","."))&lt;=1,VALUE(SUBSTITUTE(SUBSTITUTE(Seguimiento!$V$4,"%",""),",","."))*100,VALUE(SUBSTITUTE(SUBSTITUTE(Seguimiento!$V$4,"%",""),",","."))),"")))</f>
        <v/>
      </c>
      <c r="F17" s="15">
        <f>IF(Seguimiento!$V$4="","",Seguimiento!$W$4&amp;"")</f>
        <v/>
      </c>
    </row>
    <row r="18">
      <c r="A18" s="15">
        <f>IF(Seguimiento!$A$4="","",Seguimiento!$A$4)</f>
        <v/>
      </c>
      <c r="B18" s="15">
        <f>IF(Seguimiento!$A$4="","",Seguimiento!$B$4)</f>
        <v/>
      </c>
      <c r="C18" s="15">
        <f>IF(Seguimiento!$A$4="","",Seguimiento!$C$4&amp;"")</f>
        <v/>
      </c>
      <c r="D18" s="16" t="n">
        <v>46325</v>
      </c>
      <c r="E18" s="15">
        <f>IF(Seguimiento!$X$4="","",IF(ISNUMBER(Seguimiento!$X$4),IF(Seguimiento!$X$4&lt;=1,Seguimiento!$X$4*100,Seguimiento!$X$4),IFERROR(IF(VALUE(SUBSTITUTE(SUBSTITUTE(Seguimiento!$X$4,"%",""),",","."))&lt;=1,VALUE(SUBSTITUTE(SUBSTITUTE(Seguimiento!$X$4,"%",""),",","."))*100,VALUE(SUBSTITUTE(SUBSTITUTE(Seguimiento!$X$4,"%",""),",","."))),"")))</f>
        <v/>
      </c>
      <c r="F18" s="15">
        <f>IF(Seguimiento!$X$4="","",Seguimiento!$Y$4&amp;"")</f>
        <v/>
      </c>
    </row>
    <row r="19">
      <c r="A19" s="15">
        <f>IF(Seguimiento!$A$4="","",Seguimiento!$A$4)</f>
        <v/>
      </c>
      <c r="B19" s="15">
        <f>IF(Seguimiento!$A$4="","",Seguimiento!$B$4)</f>
        <v/>
      </c>
      <c r="C19" s="15">
        <f>IF(Seguimiento!$A$4="","",Seguimiento!$C$4&amp;"")</f>
        <v/>
      </c>
      <c r="D19" s="16" t="n">
        <v>46332</v>
      </c>
      <c r="E19" s="15">
        <f>IF(Seguimiento!$Z$4="","",IF(ISNUMBER(Seguimiento!$Z$4),IF(Seguimiento!$Z$4&lt;=1,Seguimiento!$Z$4*100,Seguimiento!$Z$4),IFERROR(IF(VALUE(SUBSTITUTE(SUBSTITUTE(Seguimiento!$Z$4,"%",""),",","."))&lt;=1,VALUE(SUBSTITUTE(SUBSTITUTE(Seguimiento!$Z$4,"%",""),",","."))*100,VALUE(SUBSTITUTE(SUBSTITUTE(Seguimiento!$Z$4,"%",""),",","."))),"")))</f>
        <v/>
      </c>
      <c r="F19" s="15">
        <f>IF(Seguimiento!$Z$4="","",Seguimiento!$AA$4&amp;"")</f>
        <v/>
      </c>
    </row>
    <row r="20">
      <c r="A20" s="15">
        <f>IF(Seguimiento!$A$4="","",Seguimiento!$A$4)</f>
        <v/>
      </c>
      <c r="B20" s="15">
        <f>IF(Seguimiento!$A$4="","",Seguimiento!$B$4)</f>
        <v/>
      </c>
      <c r="C20" s="15">
        <f>IF(Seguimiento!$A$4="","",Seguimiento!$C$4&amp;"")</f>
        <v/>
      </c>
      <c r="D20" s="16" t="n">
        <v>46339</v>
      </c>
      <c r="E20" s="15">
        <f>IF(Seguimiento!$AB$4="","",IF(ISNUMBER(Seguimiento!$AB$4),IF(Seguimiento!$AB$4&lt;=1,Seguimiento!$AB$4*100,Seguimiento!$AB$4),IFERROR(IF(VALUE(SUBSTITUTE(SUBSTITUTE(Seguimiento!$AB$4,"%",""),",","."))&lt;=1,VALUE(SUBSTITUTE(SUBSTITUTE(Seguimiento!$AB$4,"%",""),",","."))*100,VALUE(SUBSTITUTE(SUBSTITUTE(Seguimiento!$AB$4,"%",""),",","."))),"")))</f>
        <v/>
      </c>
      <c r="F20" s="15">
        <f>IF(Seguimiento!$AB$4="","",Seguimiento!$AC$4&amp;"")</f>
        <v/>
      </c>
    </row>
    <row r="21">
      <c r="A21" s="15">
        <f>IF(Seguimiento!$A$4="","",Seguimiento!$A$4)</f>
        <v/>
      </c>
      <c r="B21" s="15">
        <f>IF(Seguimiento!$A$4="","",Seguimiento!$B$4)</f>
        <v/>
      </c>
      <c r="C21" s="15">
        <f>IF(Seguimiento!$A$4="","",Seguimiento!$C$4&amp;"")</f>
        <v/>
      </c>
      <c r="D21" s="16" t="n">
        <v>46346</v>
      </c>
      <c r="E21" s="15">
        <f>IF(Seguimiento!$AD$4="","",IF(ISNUMBER(Seguimiento!$AD$4),IF(Seguimiento!$AD$4&lt;=1,Seguimiento!$AD$4*100,Seguimiento!$AD$4),IFERROR(IF(VALUE(SUBSTITUTE(SUBSTITUTE(Seguimiento!$AD$4,"%",""),",","."))&lt;=1,VALUE(SUBSTITUTE(SUBSTITUTE(Seguimiento!$AD$4,"%",""),",","."))*100,VALUE(SUBSTITUTE(SUBSTITUTE(Seguimiento!$AD$4,"%",""),",","."))),"")))</f>
        <v/>
      </c>
      <c r="F21" s="15">
        <f>IF(Seguimiento!$AD$4="","",Seguimiento!$AE$4&amp;"")</f>
        <v/>
      </c>
    </row>
    <row r="22">
      <c r="A22" s="15">
        <f>IF(Seguimiento!$A$4="","",Seguimiento!$A$4)</f>
        <v/>
      </c>
      <c r="B22" s="15">
        <f>IF(Seguimiento!$A$4="","",Seguimiento!$B$4)</f>
        <v/>
      </c>
      <c r="C22" s="15">
        <f>IF(Seguimiento!$A$4="","",Seguimiento!$C$4&amp;"")</f>
        <v/>
      </c>
      <c r="D22" s="16" t="n">
        <v>46353</v>
      </c>
      <c r="E22" s="15">
        <f>IF(Seguimiento!$AF$4="","",IF(ISNUMBER(Seguimiento!$AF$4),IF(Seguimiento!$AF$4&lt;=1,Seguimiento!$AF$4*100,Seguimiento!$AF$4),IFERROR(IF(VALUE(SUBSTITUTE(SUBSTITUTE(Seguimiento!$AF$4,"%",""),",","."))&lt;=1,VALUE(SUBSTITUTE(SUBSTITUTE(Seguimiento!$AF$4,"%",""),",","."))*100,VALUE(SUBSTITUTE(SUBSTITUTE(Seguimiento!$AF$4,"%",""),",","."))),"")))</f>
        <v/>
      </c>
      <c r="F22" s="15">
        <f>IF(Seguimiento!$AF$4="","",Seguimiento!$AG$4&amp;"")</f>
        <v/>
      </c>
    </row>
    <row r="23">
      <c r="A23" s="15">
        <f>IF(Seguimiento!$A$4="","",Seguimiento!$A$4)</f>
        <v/>
      </c>
      <c r="B23" s="15">
        <f>IF(Seguimiento!$A$4="","",Seguimiento!$B$4)</f>
        <v/>
      </c>
      <c r="C23" s="15">
        <f>IF(Seguimiento!$A$4="","",Seguimiento!$C$4&amp;"")</f>
        <v/>
      </c>
      <c r="D23" s="16" t="n">
        <v>46360</v>
      </c>
      <c r="E23" s="15">
        <f>IF(Seguimiento!$AH$4="","",IF(ISNUMBER(Seguimiento!$AH$4),IF(Seguimiento!$AH$4&lt;=1,Seguimiento!$AH$4*100,Seguimiento!$AH$4),IFERROR(IF(VALUE(SUBSTITUTE(SUBSTITUTE(Seguimiento!$AH$4,"%",""),",","."))&lt;=1,VALUE(SUBSTITUTE(SUBSTITUTE(Seguimiento!$AH$4,"%",""),",","."))*100,VALUE(SUBSTITUTE(SUBSTITUTE(Seguimiento!$AH$4,"%",""),",","."))),"")))</f>
        <v/>
      </c>
      <c r="F23" s="15">
        <f>IF(Seguimiento!$AH$4="","",Seguimiento!$AI$4&amp;"")</f>
        <v/>
      </c>
    </row>
    <row r="24">
      <c r="A24" s="15">
        <f>IF(Seguimiento!$A$4="","",Seguimiento!$A$4)</f>
        <v/>
      </c>
      <c r="B24" s="15">
        <f>IF(Seguimiento!$A$4="","",Seguimiento!$B$4)</f>
        <v/>
      </c>
      <c r="C24" s="15">
        <f>IF(Seguimiento!$A$4="","",Seguimiento!$C$4&amp;"")</f>
        <v/>
      </c>
      <c r="D24" s="16" t="n">
        <v>46367</v>
      </c>
      <c r="E24" s="15">
        <f>IF(Seguimiento!$AJ$4="","",IF(ISNUMBER(Seguimiento!$AJ$4),IF(Seguimiento!$AJ$4&lt;=1,Seguimiento!$AJ$4*100,Seguimiento!$AJ$4),IFERROR(IF(VALUE(SUBSTITUTE(SUBSTITUTE(Seguimiento!$AJ$4,"%",""),",","."))&lt;=1,VALUE(SUBSTITUTE(SUBSTITUTE(Seguimiento!$AJ$4,"%",""),",","."))*100,VALUE(SUBSTITUTE(SUBSTITUTE(Seguimiento!$AJ$4,"%",""),",","."))),"")))</f>
        <v/>
      </c>
      <c r="F24" s="15">
        <f>IF(Seguimiento!$AJ$4="","",Seguimiento!$AK$4&amp;"")</f>
        <v/>
      </c>
    </row>
    <row r="25">
      <c r="A25" s="15">
        <f>IF(Seguimiento!$A$4="","",Seguimiento!$A$4)</f>
        <v/>
      </c>
      <c r="B25" s="15">
        <f>IF(Seguimiento!$A$4="","",Seguimiento!$B$4)</f>
        <v/>
      </c>
      <c r="C25" s="15">
        <f>IF(Seguimiento!$A$4="","",Seguimiento!$C$4&amp;"")</f>
        <v/>
      </c>
      <c r="D25" s="16" t="n">
        <v>46374</v>
      </c>
      <c r="E25" s="15">
        <f>IF(Seguimiento!$AL$4="","",IF(ISNUMBER(Seguimiento!$AL$4),IF(Seguimiento!$AL$4&lt;=1,Seguimiento!$AL$4*100,Seguimiento!$AL$4),IFERROR(IF(VALUE(SUBSTITUTE(SUBSTITUTE(Seguimiento!$AL$4,"%",""),",","."))&lt;=1,VALUE(SUBSTITUTE(SUBSTITUTE(Seguimiento!$AL$4,"%",""),",","."))*100,VALUE(SUBSTITUTE(SUBSTITUTE(Seguimiento!$AL$4,"%",""),",","."))),"")))</f>
        <v/>
      </c>
      <c r="F25" s="15">
        <f>IF(Seguimiento!$AL$4="","",Seguimiento!$AM$4&amp;"")</f>
        <v/>
      </c>
    </row>
    <row r="26">
      <c r="A26" s="15">
        <f>IF(Seguimiento!$A$5="","",Seguimiento!$A$5)</f>
        <v/>
      </c>
      <c r="B26" s="15">
        <f>IF(Seguimiento!$A$5="","",Seguimiento!$B$5)</f>
        <v/>
      </c>
      <c r="C26" s="15">
        <f>IF(Seguimiento!$A$5="","",Seguimiento!$C$5&amp;"")</f>
        <v/>
      </c>
      <c r="D26" s="16" t="n">
        <v>46297</v>
      </c>
      <c r="E26" s="15">
        <f>IF(Seguimiento!$Q$5="","",IF(ISNUMBER(Seguimiento!$Q$5),IF(Seguimiento!$Q$5&lt;=1,Seguimiento!$Q$5*100,Seguimiento!$Q$5),IFERROR(IF(VALUE(SUBSTITUTE(SUBSTITUTE(Seguimiento!$Q$5,"%",""),",","."))&lt;=1,VALUE(SUBSTITUTE(SUBSTITUTE(Seguimiento!$Q$5,"%",""),",","."))*100,VALUE(SUBSTITUTE(SUBSTITUTE(Seguimiento!$Q$5,"%",""),",","."))),"")))</f>
        <v/>
      </c>
      <c r="F26" s="15">
        <f>IF(Seguimiento!$Q$5="","","Avance inicial (matriz MINAM)")</f>
        <v/>
      </c>
    </row>
    <row r="27">
      <c r="A27" s="15">
        <f>IF(Seguimiento!$A$5="","",Seguimiento!$A$5)</f>
        <v/>
      </c>
      <c r="B27" s="15">
        <f>IF(Seguimiento!$A$5="","",Seguimiento!$B$5)</f>
        <v/>
      </c>
      <c r="C27" s="15">
        <f>IF(Seguimiento!$A$5="","",Seguimiento!$C$5&amp;"")</f>
        <v/>
      </c>
      <c r="D27" s="16" t="n">
        <v>46304</v>
      </c>
      <c r="E27" s="15">
        <f>IF(Seguimiento!$R$5="","",IF(ISNUMBER(Seguimiento!$R$5),IF(Seguimiento!$R$5&lt;=1,Seguimiento!$R$5*100,Seguimiento!$R$5),IFERROR(IF(VALUE(SUBSTITUTE(SUBSTITUTE(Seguimiento!$R$5,"%",""),",","."))&lt;=1,VALUE(SUBSTITUTE(SUBSTITUTE(Seguimiento!$R$5,"%",""),",","."))*100,VALUE(SUBSTITUTE(SUBSTITUTE(Seguimiento!$R$5,"%",""),",","."))),"")))</f>
        <v/>
      </c>
      <c r="F27" s="15">
        <f>IF(Seguimiento!$R$5="","",Seguimiento!$S$5&amp;"")</f>
        <v/>
      </c>
    </row>
    <row r="28">
      <c r="A28" s="15">
        <f>IF(Seguimiento!$A$5="","",Seguimiento!$A$5)</f>
        <v/>
      </c>
      <c r="B28" s="15">
        <f>IF(Seguimiento!$A$5="","",Seguimiento!$B$5)</f>
        <v/>
      </c>
      <c r="C28" s="15">
        <f>IF(Seguimiento!$A$5="","",Seguimiento!$C$5&amp;"")</f>
        <v/>
      </c>
      <c r="D28" s="16" t="n">
        <v>46311</v>
      </c>
      <c r="E28" s="15">
        <f>IF(Seguimiento!$T$5="","",IF(ISNUMBER(Seguimiento!$T$5),IF(Seguimiento!$T$5&lt;=1,Seguimiento!$T$5*100,Seguimiento!$T$5),IFERROR(IF(VALUE(SUBSTITUTE(SUBSTITUTE(Seguimiento!$T$5,"%",""),",","."))&lt;=1,VALUE(SUBSTITUTE(SUBSTITUTE(Seguimiento!$T$5,"%",""),",","."))*100,VALUE(SUBSTITUTE(SUBSTITUTE(Seguimiento!$T$5,"%",""),",","."))),"")))</f>
        <v/>
      </c>
      <c r="F28" s="15">
        <f>IF(Seguimiento!$T$5="","",Seguimiento!$U$5&amp;"")</f>
        <v/>
      </c>
    </row>
    <row r="29">
      <c r="A29" s="15">
        <f>IF(Seguimiento!$A$5="","",Seguimiento!$A$5)</f>
        <v/>
      </c>
      <c r="B29" s="15">
        <f>IF(Seguimiento!$A$5="","",Seguimiento!$B$5)</f>
        <v/>
      </c>
      <c r="C29" s="15">
        <f>IF(Seguimiento!$A$5="","",Seguimiento!$C$5&amp;"")</f>
        <v/>
      </c>
      <c r="D29" s="16" t="n">
        <v>46318</v>
      </c>
      <c r="E29" s="15">
        <f>IF(Seguimiento!$V$5="","",IF(ISNUMBER(Seguimiento!$V$5),IF(Seguimiento!$V$5&lt;=1,Seguimiento!$V$5*100,Seguimiento!$V$5),IFERROR(IF(VALUE(SUBSTITUTE(SUBSTITUTE(Seguimiento!$V$5,"%",""),",","."))&lt;=1,VALUE(SUBSTITUTE(SUBSTITUTE(Seguimiento!$V$5,"%",""),",","."))*100,VALUE(SUBSTITUTE(SUBSTITUTE(Seguimiento!$V$5,"%",""),",","."))),"")))</f>
        <v/>
      </c>
      <c r="F29" s="15">
        <f>IF(Seguimiento!$V$5="","",Seguimiento!$W$5&amp;"")</f>
        <v/>
      </c>
    </row>
    <row r="30">
      <c r="A30" s="15">
        <f>IF(Seguimiento!$A$5="","",Seguimiento!$A$5)</f>
        <v/>
      </c>
      <c r="B30" s="15">
        <f>IF(Seguimiento!$A$5="","",Seguimiento!$B$5)</f>
        <v/>
      </c>
      <c r="C30" s="15">
        <f>IF(Seguimiento!$A$5="","",Seguimiento!$C$5&amp;"")</f>
        <v/>
      </c>
      <c r="D30" s="16" t="n">
        <v>46325</v>
      </c>
      <c r="E30" s="15">
        <f>IF(Seguimiento!$X$5="","",IF(ISNUMBER(Seguimiento!$X$5),IF(Seguimiento!$X$5&lt;=1,Seguimiento!$X$5*100,Seguimiento!$X$5),IFERROR(IF(VALUE(SUBSTITUTE(SUBSTITUTE(Seguimiento!$X$5,"%",""),",","."))&lt;=1,VALUE(SUBSTITUTE(SUBSTITUTE(Seguimiento!$X$5,"%",""),",","."))*100,VALUE(SUBSTITUTE(SUBSTITUTE(Seguimiento!$X$5,"%",""),",","."))),"")))</f>
        <v/>
      </c>
      <c r="F30" s="15">
        <f>IF(Seguimiento!$X$5="","",Seguimiento!$Y$5&amp;"")</f>
        <v/>
      </c>
    </row>
    <row r="31">
      <c r="A31" s="15">
        <f>IF(Seguimiento!$A$5="","",Seguimiento!$A$5)</f>
        <v/>
      </c>
      <c r="B31" s="15">
        <f>IF(Seguimiento!$A$5="","",Seguimiento!$B$5)</f>
        <v/>
      </c>
      <c r="C31" s="15">
        <f>IF(Seguimiento!$A$5="","",Seguimiento!$C$5&amp;"")</f>
        <v/>
      </c>
      <c r="D31" s="16" t="n">
        <v>46332</v>
      </c>
      <c r="E31" s="15">
        <f>IF(Seguimiento!$Z$5="","",IF(ISNUMBER(Seguimiento!$Z$5),IF(Seguimiento!$Z$5&lt;=1,Seguimiento!$Z$5*100,Seguimiento!$Z$5),IFERROR(IF(VALUE(SUBSTITUTE(SUBSTITUTE(Seguimiento!$Z$5,"%",""),",","."))&lt;=1,VALUE(SUBSTITUTE(SUBSTITUTE(Seguimiento!$Z$5,"%",""),",","."))*100,VALUE(SUBSTITUTE(SUBSTITUTE(Seguimiento!$Z$5,"%",""),",","."))),"")))</f>
        <v/>
      </c>
      <c r="F31" s="15">
        <f>IF(Seguimiento!$Z$5="","",Seguimiento!$AA$5&amp;"")</f>
        <v/>
      </c>
    </row>
    <row r="32">
      <c r="A32" s="15">
        <f>IF(Seguimiento!$A$5="","",Seguimiento!$A$5)</f>
        <v/>
      </c>
      <c r="B32" s="15">
        <f>IF(Seguimiento!$A$5="","",Seguimiento!$B$5)</f>
        <v/>
      </c>
      <c r="C32" s="15">
        <f>IF(Seguimiento!$A$5="","",Seguimiento!$C$5&amp;"")</f>
        <v/>
      </c>
      <c r="D32" s="16" t="n">
        <v>46339</v>
      </c>
      <c r="E32" s="15">
        <f>IF(Seguimiento!$AB$5="","",IF(ISNUMBER(Seguimiento!$AB$5),IF(Seguimiento!$AB$5&lt;=1,Seguimiento!$AB$5*100,Seguimiento!$AB$5),IFERROR(IF(VALUE(SUBSTITUTE(SUBSTITUTE(Seguimiento!$AB$5,"%",""),",","."))&lt;=1,VALUE(SUBSTITUTE(SUBSTITUTE(Seguimiento!$AB$5,"%",""),",","."))*100,VALUE(SUBSTITUTE(SUBSTITUTE(Seguimiento!$AB$5,"%",""),",","."))),"")))</f>
        <v/>
      </c>
      <c r="F32" s="15">
        <f>IF(Seguimiento!$AB$5="","",Seguimiento!$AC$5&amp;"")</f>
        <v/>
      </c>
    </row>
    <row r="33">
      <c r="A33" s="15">
        <f>IF(Seguimiento!$A$5="","",Seguimiento!$A$5)</f>
        <v/>
      </c>
      <c r="B33" s="15">
        <f>IF(Seguimiento!$A$5="","",Seguimiento!$B$5)</f>
        <v/>
      </c>
      <c r="C33" s="15">
        <f>IF(Seguimiento!$A$5="","",Seguimiento!$C$5&amp;"")</f>
        <v/>
      </c>
      <c r="D33" s="16" t="n">
        <v>46346</v>
      </c>
      <c r="E33" s="15">
        <f>IF(Seguimiento!$AD$5="","",IF(ISNUMBER(Seguimiento!$AD$5),IF(Seguimiento!$AD$5&lt;=1,Seguimiento!$AD$5*100,Seguimiento!$AD$5),IFERROR(IF(VALUE(SUBSTITUTE(SUBSTITUTE(Seguimiento!$AD$5,"%",""),",","."))&lt;=1,VALUE(SUBSTITUTE(SUBSTITUTE(Seguimiento!$AD$5,"%",""),",","."))*100,VALUE(SUBSTITUTE(SUBSTITUTE(Seguimiento!$AD$5,"%",""),",","."))),"")))</f>
        <v/>
      </c>
      <c r="F33" s="15">
        <f>IF(Seguimiento!$AD$5="","",Seguimiento!$AE$5&amp;"")</f>
        <v/>
      </c>
    </row>
    <row r="34">
      <c r="A34" s="15">
        <f>IF(Seguimiento!$A$5="","",Seguimiento!$A$5)</f>
        <v/>
      </c>
      <c r="B34" s="15">
        <f>IF(Seguimiento!$A$5="","",Seguimiento!$B$5)</f>
        <v/>
      </c>
      <c r="C34" s="15">
        <f>IF(Seguimiento!$A$5="","",Seguimiento!$C$5&amp;"")</f>
        <v/>
      </c>
      <c r="D34" s="16" t="n">
        <v>46353</v>
      </c>
      <c r="E34" s="15">
        <f>IF(Seguimiento!$AF$5="","",IF(ISNUMBER(Seguimiento!$AF$5),IF(Seguimiento!$AF$5&lt;=1,Seguimiento!$AF$5*100,Seguimiento!$AF$5),IFERROR(IF(VALUE(SUBSTITUTE(SUBSTITUTE(Seguimiento!$AF$5,"%",""),",","."))&lt;=1,VALUE(SUBSTITUTE(SUBSTITUTE(Seguimiento!$AF$5,"%",""),",","."))*100,VALUE(SUBSTITUTE(SUBSTITUTE(Seguimiento!$AF$5,"%",""),",","."))),"")))</f>
        <v/>
      </c>
      <c r="F34" s="15">
        <f>IF(Seguimiento!$AF$5="","",Seguimiento!$AG$5&amp;"")</f>
        <v/>
      </c>
    </row>
    <row r="35">
      <c r="A35" s="15">
        <f>IF(Seguimiento!$A$5="","",Seguimiento!$A$5)</f>
        <v/>
      </c>
      <c r="B35" s="15">
        <f>IF(Seguimiento!$A$5="","",Seguimiento!$B$5)</f>
        <v/>
      </c>
      <c r="C35" s="15">
        <f>IF(Seguimiento!$A$5="","",Seguimiento!$C$5&amp;"")</f>
        <v/>
      </c>
      <c r="D35" s="16" t="n">
        <v>46360</v>
      </c>
      <c r="E35" s="15">
        <f>IF(Seguimiento!$AH$5="","",IF(ISNUMBER(Seguimiento!$AH$5),IF(Seguimiento!$AH$5&lt;=1,Seguimiento!$AH$5*100,Seguimiento!$AH$5),IFERROR(IF(VALUE(SUBSTITUTE(SUBSTITUTE(Seguimiento!$AH$5,"%",""),",","."))&lt;=1,VALUE(SUBSTITUTE(SUBSTITUTE(Seguimiento!$AH$5,"%",""),",","."))*100,VALUE(SUBSTITUTE(SUBSTITUTE(Seguimiento!$AH$5,"%",""),",","."))),"")))</f>
        <v/>
      </c>
      <c r="F35" s="15">
        <f>IF(Seguimiento!$AH$5="","",Seguimiento!$AI$5&amp;"")</f>
        <v/>
      </c>
    </row>
    <row r="36">
      <c r="A36" s="15">
        <f>IF(Seguimiento!$A$5="","",Seguimiento!$A$5)</f>
        <v/>
      </c>
      <c r="B36" s="15">
        <f>IF(Seguimiento!$A$5="","",Seguimiento!$B$5)</f>
        <v/>
      </c>
      <c r="C36" s="15">
        <f>IF(Seguimiento!$A$5="","",Seguimiento!$C$5&amp;"")</f>
        <v/>
      </c>
      <c r="D36" s="16" t="n">
        <v>46367</v>
      </c>
      <c r="E36" s="15">
        <f>IF(Seguimiento!$AJ$5="","",IF(ISNUMBER(Seguimiento!$AJ$5),IF(Seguimiento!$AJ$5&lt;=1,Seguimiento!$AJ$5*100,Seguimiento!$AJ$5),IFERROR(IF(VALUE(SUBSTITUTE(SUBSTITUTE(Seguimiento!$AJ$5,"%",""),",","."))&lt;=1,VALUE(SUBSTITUTE(SUBSTITUTE(Seguimiento!$AJ$5,"%",""),",","."))*100,VALUE(SUBSTITUTE(SUBSTITUTE(Seguimiento!$AJ$5,"%",""),",","."))),"")))</f>
        <v/>
      </c>
      <c r="F36" s="15">
        <f>IF(Seguimiento!$AJ$5="","",Seguimiento!$AK$5&amp;"")</f>
        <v/>
      </c>
    </row>
    <row r="37">
      <c r="A37" s="15">
        <f>IF(Seguimiento!$A$5="","",Seguimiento!$A$5)</f>
        <v/>
      </c>
      <c r="B37" s="15">
        <f>IF(Seguimiento!$A$5="","",Seguimiento!$B$5)</f>
        <v/>
      </c>
      <c r="C37" s="15">
        <f>IF(Seguimiento!$A$5="","",Seguimiento!$C$5&amp;"")</f>
        <v/>
      </c>
      <c r="D37" s="16" t="n">
        <v>46374</v>
      </c>
      <c r="E37" s="15">
        <f>IF(Seguimiento!$AL$5="","",IF(ISNUMBER(Seguimiento!$AL$5),IF(Seguimiento!$AL$5&lt;=1,Seguimiento!$AL$5*100,Seguimiento!$AL$5),IFERROR(IF(VALUE(SUBSTITUTE(SUBSTITUTE(Seguimiento!$AL$5,"%",""),",","."))&lt;=1,VALUE(SUBSTITUTE(SUBSTITUTE(Seguimiento!$AL$5,"%",""),",","."))*100,VALUE(SUBSTITUTE(SUBSTITUTE(Seguimiento!$AL$5,"%",""),",","."))),"")))</f>
        <v/>
      </c>
      <c r="F37" s="15">
        <f>IF(Seguimiento!$AL$5="","",Seguimiento!$AM$5&amp;"")</f>
        <v/>
      </c>
    </row>
    <row r="38">
      <c r="A38" s="15">
        <f>IF(Seguimiento!$A$6="","",Seguimiento!$A$6)</f>
        <v/>
      </c>
      <c r="B38" s="15">
        <f>IF(Seguimiento!$A$6="","",Seguimiento!$B$6)</f>
        <v/>
      </c>
      <c r="C38" s="15">
        <f>IF(Seguimiento!$A$6="","",Seguimiento!$C$6&amp;"")</f>
        <v/>
      </c>
      <c r="D38" s="16" t="n">
        <v>46297</v>
      </c>
      <c r="E38" s="15">
        <f>IF(Seguimiento!$Q$6="","",IF(ISNUMBER(Seguimiento!$Q$6),IF(Seguimiento!$Q$6&lt;=1,Seguimiento!$Q$6*100,Seguimiento!$Q$6),IFERROR(IF(VALUE(SUBSTITUTE(SUBSTITUTE(Seguimiento!$Q$6,"%",""),",","."))&lt;=1,VALUE(SUBSTITUTE(SUBSTITUTE(Seguimiento!$Q$6,"%",""),",","."))*100,VALUE(SUBSTITUTE(SUBSTITUTE(Seguimiento!$Q$6,"%",""),",","."))),"")))</f>
        <v/>
      </c>
      <c r="F38" s="15">
        <f>IF(Seguimiento!$Q$6="","","Avance inicial (matriz MINAM)")</f>
        <v/>
      </c>
    </row>
    <row r="39">
      <c r="A39" s="15">
        <f>IF(Seguimiento!$A$6="","",Seguimiento!$A$6)</f>
        <v/>
      </c>
      <c r="B39" s="15">
        <f>IF(Seguimiento!$A$6="","",Seguimiento!$B$6)</f>
        <v/>
      </c>
      <c r="C39" s="15">
        <f>IF(Seguimiento!$A$6="","",Seguimiento!$C$6&amp;"")</f>
        <v/>
      </c>
      <c r="D39" s="16" t="n">
        <v>46304</v>
      </c>
      <c r="E39" s="15">
        <f>IF(Seguimiento!$R$6="","",IF(ISNUMBER(Seguimiento!$R$6),IF(Seguimiento!$R$6&lt;=1,Seguimiento!$R$6*100,Seguimiento!$R$6),IFERROR(IF(VALUE(SUBSTITUTE(SUBSTITUTE(Seguimiento!$R$6,"%",""),",","."))&lt;=1,VALUE(SUBSTITUTE(SUBSTITUTE(Seguimiento!$R$6,"%",""),",","."))*100,VALUE(SUBSTITUTE(SUBSTITUTE(Seguimiento!$R$6,"%",""),",","."))),"")))</f>
        <v/>
      </c>
      <c r="F39" s="15">
        <f>IF(Seguimiento!$R$6="","",Seguimiento!$S$6&amp;"")</f>
        <v/>
      </c>
    </row>
    <row r="40">
      <c r="A40" s="15">
        <f>IF(Seguimiento!$A$6="","",Seguimiento!$A$6)</f>
        <v/>
      </c>
      <c r="B40" s="15">
        <f>IF(Seguimiento!$A$6="","",Seguimiento!$B$6)</f>
        <v/>
      </c>
      <c r="C40" s="15">
        <f>IF(Seguimiento!$A$6="","",Seguimiento!$C$6&amp;"")</f>
        <v/>
      </c>
      <c r="D40" s="16" t="n">
        <v>46311</v>
      </c>
      <c r="E40" s="15">
        <f>IF(Seguimiento!$T$6="","",IF(ISNUMBER(Seguimiento!$T$6),IF(Seguimiento!$T$6&lt;=1,Seguimiento!$T$6*100,Seguimiento!$T$6),IFERROR(IF(VALUE(SUBSTITUTE(SUBSTITUTE(Seguimiento!$T$6,"%",""),",","."))&lt;=1,VALUE(SUBSTITUTE(SUBSTITUTE(Seguimiento!$T$6,"%",""),",","."))*100,VALUE(SUBSTITUTE(SUBSTITUTE(Seguimiento!$T$6,"%",""),",","."))),"")))</f>
        <v/>
      </c>
      <c r="F40" s="15">
        <f>IF(Seguimiento!$T$6="","",Seguimiento!$U$6&amp;"")</f>
        <v/>
      </c>
    </row>
    <row r="41">
      <c r="A41" s="15">
        <f>IF(Seguimiento!$A$6="","",Seguimiento!$A$6)</f>
        <v/>
      </c>
      <c r="B41" s="15">
        <f>IF(Seguimiento!$A$6="","",Seguimiento!$B$6)</f>
        <v/>
      </c>
      <c r="C41" s="15">
        <f>IF(Seguimiento!$A$6="","",Seguimiento!$C$6&amp;"")</f>
        <v/>
      </c>
      <c r="D41" s="16" t="n">
        <v>46318</v>
      </c>
      <c r="E41" s="15">
        <f>IF(Seguimiento!$V$6="","",IF(ISNUMBER(Seguimiento!$V$6),IF(Seguimiento!$V$6&lt;=1,Seguimiento!$V$6*100,Seguimiento!$V$6),IFERROR(IF(VALUE(SUBSTITUTE(SUBSTITUTE(Seguimiento!$V$6,"%",""),",","."))&lt;=1,VALUE(SUBSTITUTE(SUBSTITUTE(Seguimiento!$V$6,"%",""),",","."))*100,VALUE(SUBSTITUTE(SUBSTITUTE(Seguimiento!$V$6,"%",""),",","."))),"")))</f>
        <v/>
      </c>
      <c r="F41" s="15">
        <f>IF(Seguimiento!$V$6="","",Seguimiento!$W$6&amp;"")</f>
        <v/>
      </c>
    </row>
    <row r="42">
      <c r="A42" s="15">
        <f>IF(Seguimiento!$A$6="","",Seguimiento!$A$6)</f>
        <v/>
      </c>
      <c r="B42" s="15">
        <f>IF(Seguimiento!$A$6="","",Seguimiento!$B$6)</f>
        <v/>
      </c>
      <c r="C42" s="15">
        <f>IF(Seguimiento!$A$6="","",Seguimiento!$C$6&amp;"")</f>
        <v/>
      </c>
      <c r="D42" s="16" t="n">
        <v>46325</v>
      </c>
      <c r="E42" s="15">
        <f>IF(Seguimiento!$X$6="","",IF(ISNUMBER(Seguimiento!$X$6),IF(Seguimiento!$X$6&lt;=1,Seguimiento!$X$6*100,Seguimiento!$X$6),IFERROR(IF(VALUE(SUBSTITUTE(SUBSTITUTE(Seguimiento!$X$6,"%",""),",","."))&lt;=1,VALUE(SUBSTITUTE(SUBSTITUTE(Seguimiento!$X$6,"%",""),",","."))*100,VALUE(SUBSTITUTE(SUBSTITUTE(Seguimiento!$X$6,"%",""),",","."))),"")))</f>
        <v/>
      </c>
      <c r="F42" s="15">
        <f>IF(Seguimiento!$X$6="","",Seguimiento!$Y$6&amp;"")</f>
        <v/>
      </c>
    </row>
    <row r="43">
      <c r="A43" s="15">
        <f>IF(Seguimiento!$A$6="","",Seguimiento!$A$6)</f>
        <v/>
      </c>
      <c r="B43" s="15">
        <f>IF(Seguimiento!$A$6="","",Seguimiento!$B$6)</f>
        <v/>
      </c>
      <c r="C43" s="15">
        <f>IF(Seguimiento!$A$6="","",Seguimiento!$C$6&amp;"")</f>
        <v/>
      </c>
      <c r="D43" s="16" t="n">
        <v>46332</v>
      </c>
      <c r="E43" s="15">
        <f>IF(Seguimiento!$Z$6="","",IF(ISNUMBER(Seguimiento!$Z$6),IF(Seguimiento!$Z$6&lt;=1,Seguimiento!$Z$6*100,Seguimiento!$Z$6),IFERROR(IF(VALUE(SUBSTITUTE(SUBSTITUTE(Seguimiento!$Z$6,"%",""),",","."))&lt;=1,VALUE(SUBSTITUTE(SUBSTITUTE(Seguimiento!$Z$6,"%",""),",","."))*100,VALUE(SUBSTITUTE(SUBSTITUTE(Seguimiento!$Z$6,"%",""),",","."))),"")))</f>
        <v/>
      </c>
      <c r="F43" s="15">
        <f>IF(Seguimiento!$Z$6="","",Seguimiento!$AA$6&amp;"")</f>
        <v/>
      </c>
    </row>
    <row r="44">
      <c r="A44" s="15">
        <f>IF(Seguimiento!$A$6="","",Seguimiento!$A$6)</f>
        <v/>
      </c>
      <c r="B44" s="15">
        <f>IF(Seguimiento!$A$6="","",Seguimiento!$B$6)</f>
        <v/>
      </c>
      <c r="C44" s="15">
        <f>IF(Seguimiento!$A$6="","",Seguimiento!$C$6&amp;"")</f>
        <v/>
      </c>
      <c r="D44" s="16" t="n">
        <v>46339</v>
      </c>
      <c r="E44" s="15">
        <f>IF(Seguimiento!$AB$6="","",IF(ISNUMBER(Seguimiento!$AB$6),IF(Seguimiento!$AB$6&lt;=1,Seguimiento!$AB$6*100,Seguimiento!$AB$6),IFERROR(IF(VALUE(SUBSTITUTE(SUBSTITUTE(Seguimiento!$AB$6,"%",""),",","."))&lt;=1,VALUE(SUBSTITUTE(SUBSTITUTE(Seguimiento!$AB$6,"%",""),",","."))*100,VALUE(SUBSTITUTE(SUBSTITUTE(Seguimiento!$AB$6,"%",""),",","."))),"")))</f>
        <v/>
      </c>
      <c r="F44" s="15">
        <f>IF(Seguimiento!$AB$6="","",Seguimiento!$AC$6&amp;"")</f>
        <v/>
      </c>
    </row>
    <row r="45">
      <c r="A45" s="15">
        <f>IF(Seguimiento!$A$6="","",Seguimiento!$A$6)</f>
        <v/>
      </c>
      <c r="B45" s="15">
        <f>IF(Seguimiento!$A$6="","",Seguimiento!$B$6)</f>
        <v/>
      </c>
      <c r="C45" s="15">
        <f>IF(Seguimiento!$A$6="","",Seguimiento!$C$6&amp;"")</f>
        <v/>
      </c>
      <c r="D45" s="16" t="n">
        <v>46346</v>
      </c>
      <c r="E45" s="15">
        <f>IF(Seguimiento!$AD$6="","",IF(ISNUMBER(Seguimiento!$AD$6),IF(Seguimiento!$AD$6&lt;=1,Seguimiento!$AD$6*100,Seguimiento!$AD$6),IFERROR(IF(VALUE(SUBSTITUTE(SUBSTITUTE(Seguimiento!$AD$6,"%",""),",","."))&lt;=1,VALUE(SUBSTITUTE(SUBSTITUTE(Seguimiento!$AD$6,"%",""),",","."))*100,VALUE(SUBSTITUTE(SUBSTITUTE(Seguimiento!$AD$6,"%",""),",","."))),"")))</f>
        <v/>
      </c>
      <c r="F45" s="15">
        <f>IF(Seguimiento!$AD$6="","",Seguimiento!$AE$6&amp;"")</f>
        <v/>
      </c>
    </row>
    <row r="46">
      <c r="A46" s="15">
        <f>IF(Seguimiento!$A$6="","",Seguimiento!$A$6)</f>
        <v/>
      </c>
      <c r="B46" s="15">
        <f>IF(Seguimiento!$A$6="","",Seguimiento!$B$6)</f>
        <v/>
      </c>
      <c r="C46" s="15">
        <f>IF(Seguimiento!$A$6="","",Seguimiento!$C$6&amp;"")</f>
        <v/>
      </c>
      <c r="D46" s="16" t="n">
        <v>46353</v>
      </c>
      <c r="E46" s="15">
        <f>IF(Seguimiento!$AF$6="","",IF(ISNUMBER(Seguimiento!$AF$6),IF(Seguimiento!$AF$6&lt;=1,Seguimiento!$AF$6*100,Seguimiento!$AF$6),IFERROR(IF(VALUE(SUBSTITUTE(SUBSTITUTE(Seguimiento!$AF$6,"%",""),",","."))&lt;=1,VALUE(SUBSTITUTE(SUBSTITUTE(Seguimiento!$AF$6,"%",""),",","."))*100,VALUE(SUBSTITUTE(SUBSTITUTE(Seguimiento!$AF$6,"%",""),",","."))),"")))</f>
        <v/>
      </c>
      <c r="F46" s="15">
        <f>IF(Seguimiento!$AF$6="","",Seguimiento!$AG$6&amp;"")</f>
        <v/>
      </c>
    </row>
    <row r="47">
      <c r="A47" s="15">
        <f>IF(Seguimiento!$A$6="","",Seguimiento!$A$6)</f>
        <v/>
      </c>
      <c r="B47" s="15">
        <f>IF(Seguimiento!$A$6="","",Seguimiento!$B$6)</f>
        <v/>
      </c>
      <c r="C47" s="15">
        <f>IF(Seguimiento!$A$6="","",Seguimiento!$C$6&amp;"")</f>
        <v/>
      </c>
      <c r="D47" s="16" t="n">
        <v>46360</v>
      </c>
      <c r="E47" s="15">
        <f>IF(Seguimiento!$AH$6="","",IF(ISNUMBER(Seguimiento!$AH$6),IF(Seguimiento!$AH$6&lt;=1,Seguimiento!$AH$6*100,Seguimiento!$AH$6),IFERROR(IF(VALUE(SUBSTITUTE(SUBSTITUTE(Seguimiento!$AH$6,"%",""),",","."))&lt;=1,VALUE(SUBSTITUTE(SUBSTITUTE(Seguimiento!$AH$6,"%",""),",","."))*100,VALUE(SUBSTITUTE(SUBSTITUTE(Seguimiento!$AH$6,"%",""),",","."))),"")))</f>
        <v/>
      </c>
      <c r="F47" s="15">
        <f>IF(Seguimiento!$AH$6="","",Seguimiento!$AI$6&amp;"")</f>
        <v/>
      </c>
    </row>
    <row r="48">
      <c r="A48" s="15">
        <f>IF(Seguimiento!$A$6="","",Seguimiento!$A$6)</f>
        <v/>
      </c>
      <c r="B48" s="15">
        <f>IF(Seguimiento!$A$6="","",Seguimiento!$B$6)</f>
        <v/>
      </c>
      <c r="C48" s="15">
        <f>IF(Seguimiento!$A$6="","",Seguimiento!$C$6&amp;"")</f>
        <v/>
      </c>
      <c r="D48" s="16" t="n">
        <v>46367</v>
      </c>
      <c r="E48" s="15">
        <f>IF(Seguimiento!$AJ$6="","",IF(ISNUMBER(Seguimiento!$AJ$6),IF(Seguimiento!$AJ$6&lt;=1,Seguimiento!$AJ$6*100,Seguimiento!$AJ$6),IFERROR(IF(VALUE(SUBSTITUTE(SUBSTITUTE(Seguimiento!$AJ$6,"%",""),",","."))&lt;=1,VALUE(SUBSTITUTE(SUBSTITUTE(Seguimiento!$AJ$6,"%",""),",","."))*100,VALUE(SUBSTITUTE(SUBSTITUTE(Seguimiento!$AJ$6,"%",""),",","."))),"")))</f>
        <v/>
      </c>
      <c r="F48" s="15">
        <f>IF(Seguimiento!$AJ$6="","",Seguimiento!$AK$6&amp;"")</f>
        <v/>
      </c>
    </row>
    <row r="49">
      <c r="A49" s="15">
        <f>IF(Seguimiento!$A$6="","",Seguimiento!$A$6)</f>
        <v/>
      </c>
      <c r="B49" s="15">
        <f>IF(Seguimiento!$A$6="","",Seguimiento!$B$6)</f>
        <v/>
      </c>
      <c r="C49" s="15">
        <f>IF(Seguimiento!$A$6="","",Seguimiento!$C$6&amp;"")</f>
        <v/>
      </c>
      <c r="D49" s="16" t="n">
        <v>46374</v>
      </c>
      <c r="E49" s="15">
        <f>IF(Seguimiento!$AL$6="","",IF(ISNUMBER(Seguimiento!$AL$6),IF(Seguimiento!$AL$6&lt;=1,Seguimiento!$AL$6*100,Seguimiento!$AL$6),IFERROR(IF(VALUE(SUBSTITUTE(SUBSTITUTE(Seguimiento!$AL$6,"%",""),",","."))&lt;=1,VALUE(SUBSTITUTE(SUBSTITUTE(Seguimiento!$AL$6,"%",""),",","."))*100,VALUE(SUBSTITUTE(SUBSTITUTE(Seguimiento!$AL$6,"%",""),",","."))),"")))</f>
        <v/>
      </c>
      <c r="F49" s="15">
        <f>IF(Seguimiento!$AL$6="","",Seguimiento!$AM$6&amp;"")</f>
        <v/>
      </c>
    </row>
    <row r="50">
      <c r="A50" s="15">
        <f>IF(Seguimiento!$A$7="","",Seguimiento!$A$7)</f>
        <v/>
      </c>
      <c r="B50" s="15">
        <f>IF(Seguimiento!$A$7="","",Seguimiento!$B$7)</f>
        <v/>
      </c>
      <c r="C50" s="15">
        <f>IF(Seguimiento!$A$7="","",Seguimiento!$C$7&amp;"")</f>
        <v/>
      </c>
      <c r="D50" s="16" t="n">
        <v>46297</v>
      </c>
      <c r="E50" s="15">
        <f>IF(Seguimiento!$Q$7="","",IF(ISNUMBER(Seguimiento!$Q$7),IF(Seguimiento!$Q$7&lt;=1,Seguimiento!$Q$7*100,Seguimiento!$Q$7),IFERROR(IF(VALUE(SUBSTITUTE(SUBSTITUTE(Seguimiento!$Q$7,"%",""),",","."))&lt;=1,VALUE(SUBSTITUTE(SUBSTITUTE(Seguimiento!$Q$7,"%",""),",","."))*100,VALUE(SUBSTITUTE(SUBSTITUTE(Seguimiento!$Q$7,"%",""),",","."))),"")))</f>
        <v/>
      </c>
      <c r="F50" s="15">
        <f>IF(Seguimiento!$Q$7="","","Avance inicial (matriz MINAM)")</f>
        <v/>
      </c>
    </row>
    <row r="51">
      <c r="A51" s="15">
        <f>IF(Seguimiento!$A$7="","",Seguimiento!$A$7)</f>
        <v/>
      </c>
      <c r="B51" s="15">
        <f>IF(Seguimiento!$A$7="","",Seguimiento!$B$7)</f>
        <v/>
      </c>
      <c r="C51" s="15">
        <f>IF(Seguimiento!$A$7="","",Seguimiento!$C$7&amp;"")</f>
        <v/>
      </c>
      <c r="D51" s="16" t="n">
        <v>46304</v>
      </c>
      <c r="E51" s="15">
        <f>IF(Seguimiento!$R$7="","",IF(ISNUMBER(Seguimiento!$R$7),IF(Seguimiento!$R$7&lt;=1,Seguimiento!$R$7*100,Seguimiento!$R$7),IFERROR(IF(VALUE(SUBSTITUTE(SUBSTITUTE(Seguimiento!$R$7,"%",""),",","."))&lt;=1,VALUE(SUBSTITUTE(SUBSTITUTE(Seguimiento!$R$7,"%",""),",","."))*100,VALUE(SUBSTITUTE(SUBSTITUTE(Seguimiento!$R$7,"%",""),",","."))),"")))</f>
        <v/>
      </c>
      <c r="F51" s="15">
        <f>IF(Seguimiento!$R$7="","",Seguimiento!$S$7&amp;"")</f>
        <v/>
      </c>
    </row>
    <row r="52">
      <c r="A52" s="15">
        <f>IF(Seguimiento!$A$7="","",Seguimiento!$A$7)</f>
        <v/>
      </c>
      <c r="B52" s="15">
        <f>IF(Seguimiento!$A$7="","",Seguimiento!$B$7)</f>
        <v/>
      </c>
      <c r="C52" s="15">
        <f>IF(Seguimiento!$A$7="","",Seguimiento!$C$7&amp;"")</f>
        <v/>
      </c>
      <c r="D52" s="16" t="n">
        <v>46311</v>
      </c>
      <c r="E52" s="15">
        <f>IF(Seguimiento!$T$7="","",IF(ISNUMBER(Seguimiento!$T$7),IF(Seguimiento!$T$7&lt;=1,Seguimiento!$T$7*100,Seguimiento!$T$7),IFERROR(IF(VALUE(SUBSTITUTE(SUBSTITUTE(Seguimiento!$T$7,"%",""),",","."))&lt;=1,VALUE(SUBSTITUTE(SUBSTITUTE(Seguimiento!$T$7,"%",""),",","."))*100,VALUE(SUBSTITUTE(SUBSTITUTE(Seguimiento!$T$7,"%",""),",","."))),"")))</f>
        <v/>
      </c>
      <c r="F52" s="15">
        <f>IF(Seguimiento!$T$7="","",Seguimiento!$U$7&amp;"")</f>
        <v/>
      </c>
    </row>
    <row r="53">
      <c r="A53" s="15">
        <f>IF(Seguimiento!$A$7="","",Seguimiento!$A$7)</f>
        <v/>
      </c>
      <c r="B53" s="15">
        <f>IF(Seguimiento!$A$7="","",Seguimiento!$B$7)</f>
        <v/>
      </c>
      <c r="C53" s="15">
        <f>IF(Seguimiento!$A$7="","",Seguimiento!$C$7&amp;"")</f>
        <v/>
      </c>
      <c r="D53" s="16" t="n">
        <v>46318</v>
      </c>
      <c r="E53" s="15">
        <f>IF(Seguimiento!$V$7="","",IF(ISNUMBER(Seguimiento!$V$7),IF(Seguimiento!$V$7&lt;=1,Seguimiento!$V$7*100,Seguimiento!$V$7),IFERROR(IF(VALUE(SUBSTITUTE(SUBSTITUTE(Seguimiento!$V$7,"%",""),",","."))&lt;=1,VALUE(SUBSTITUTE(SUBSTITUTE(Seguimiento!$V$7,"%",""),",","."))*100,VALUE(SUBSTITUTE(SUBSTITUTE(Seguimiento!$V$7,"%",""),",","."))),"")))</f>
        <v/>
      </c>
      <c r="F53" s="15">
        <f>IF(Seguimiento!$V$7="","",Seguimiento!$W$7&amp;"")</f>
        <v/>
      </c>
    </row>
    <row r="54">
      <c r="A54" s="15">
        <f>IF(Seguimiento!$A$7="","",Seguimiento!$A$7)</f>
        <v/>
      </c>
      <c r="B54" s="15">
        <f>IF(Seguimiento!$A$7="","",Seguimiento!$B$7)</f>
        <v/>
      </c>
      <c r="C54" s="15">
        <f>IF(Seguimiento!$A$7="","",Seguimiento!$C$7&amp;"")</f>
        <v/>
      </c>
      <c r="D54" s="16" t="n">
        <v>46325</v>
      </c>
      <c r="E54" s="15">
        <f>IF(Seguimiento!$X$7="","",IF(ISNUMBER(Seguimiento!$X$7),IF(Seguimiento!$X$7&lt;=1,Seguimiento!$X$7*100,Seguimiento!$X$7),IFERROR(IF(VALUE(SUBSTITUTE(SUBSTITUTE(Seguimiento!$X$7,"%",""),",","."))&lt;=1,VALUE(SUBSTITUTE(SUBSTITUTE(Seguimiento!$X$7,"%",""),",","."))*100,VALUE(SUBSTITUTE(SUBSTITUTE(Seguimiento!$X$7,"%",""),",","."))),"")))</f>
        <v/>
      </c>
      <c r="F54" s="15">
        <f>IF(Seguimiento!$X$7="","",Seguimiento!$Y$7&amp;"")</f>
        <v/>
      </c>
    </row>
    <row r="55">
      <c r="A55" s="15">
        <f>IF(Seguimiento!$A$7="","",Seguimiento!$A$7)</f>
        <v/>
      </c>
      <c r="B55" s="15">
        <f>IF(Seguimiento!$A$7="","",Seguimiento!$B$7)</f>
        <v/>
      </c>
      <c r="C55" s="15">
        <f>IF(Seguimiento!$A$7="","",Seguimiento!$C$7&amp;"")</f>
        <v/>
      </c>
      <c r="D55" s="16" t="n">
        <v>46332</v>
      </c>
      <c r="E55" s="15">
        <f>IF(Seguimiento!$Z$7="","",IF(ISNUMBER(Seguimiento!$Z$7),IF(Seguimiento!$Z$7&lt;=1,Seguimiento!$Z$7*100,Seguimiento!$Z$7),IFERROR(IF(VALUE(SUBSTITUTE(SUBSTITUTE(Seguimiento!$Z$7,"%",""),",","."))&lt;=1,VALUE(SUBSTITUTE(SUBSTITUTE(Seguimiento!$Z$7,"%",""),",","."))*100,VALUE(SUBSTITUTE(SUBSTITUTE(Seguimiento!$Z$7,"%",""),",","."))),"")))</f>
        <v/>
      </c>
      <c r="F55" s="15">
        <f>IF(Seguimiento!$Z$7="","",Seguimiento!$AA$7&amp;"")</f>
        <v/>
      </c>
    </row>
    <row r="56">
      <c r="A56" s="15">
        <f>IF(Seguimiento!$A$7="","",Seguimiento!$A$7)</f>
        <v/>
      </c>
      <c r="B56" s="15">
        <f>IF(Seguimiento!$A$7="","",Seguimiento!$B$7)</f>
        <v/>
      </c>
      <c r="C56" s="15">
        <f>IF(Seguimiento!$A$7="","",Seguimiento!$C$7&amp;"")</f>
        <v/>
      </c>
      <c r="D56" s="16" t="n">
        <v>46339</v>
      </c>
      <c r="E56" s="15">
        <f>IF(Seguimiento!$AB$7="","",IF(ISNUMBER(Seguimiento!$AB$7),IF(Seguimiento!$AB$7&lt;=1,Seguimiento!$AB$7*100,Seguimiento!$AB$7),IFERROR(IF(VALUE(SUBSTITUTE(SUBSTITUTE(Seguimiento!$AB$7,"%",""),",","."))&lt;=1,VALUE(SUBSTITUTE(SUBSTITUTE(Seguimiento!$AB$7,"%",""),",","."))*100,VALUE(SUBSTITUTE(SUBSTITUTE(Seguimiento!$AB$7,"%",""),",","."))),"")))</f>
        <v/>
      </c>
      <c r="F56" s="15">
        <f>IF(Seguimiento!$AB$7="","",Seguimiento!$AC$7&amp;"")</f>
        <v/>
      </c>
    </row>
    <row r="57">
      <c r="A57" s="15">
        <f>IF(Seguimiento!$A$7="","",Seguimiento!$A$7)</f>
        <v/>
      </c>
      <c r="B57" s="15">
        <f>IF(Seguimiento!$A$7="","",Seguimiento!$B$7)</f>
        <v/>
      </c>
      <c r="C57" s="15">
        <f>IF(Seguimiento!$A$7="","",Seguimiento!$C$7&amp;"")</f>
        <v/>
      </c>
      <c r="D57" s="16" t="n">
        <v>46346</v>
      </c>
      <c r="E57" s="15">
        <f>IF(Seguimiento!$AD$7="","",IF(ISNUMBER(Seguimiento!$AD$7),IF(Seguimiento!$AD$7&lt;=1,Seguimiento!$AD$7*100,Seguimiento!$AD$7),IFERROR(IF(VALUE(SUBSTITUTE(SUBSTITUTE(Seguimiento!$AD$7,"%",""),",","."))&lt;=1,VALUE(SUBSTITUTE(SUBSTITUTE(Seguimiento!$AD$7,"%",""),",","."))*100,VALUE(SUBSTITUTE(SUBSTITUTE(Seguimiento!$AD$7,"%",""),",","."))),"")))</f>
        <v/>
      </c>
      <c r="F57" s="15">
        <f>IF(Seguimiento!$AD$7="","",Seguimiento!$AE$7&amp;"")</f>
        <v/>
      </c>
    </row>
    <row r="58">
      <c r="A58" s="15">
        <f>IF(Seguimiento!$A$7="","",Seguimiento!$A$7)</f>
        <v/>
      </c>
      <c r="B58" s="15">
        <f>IF(Seguimiento!$A$7="","",Seguimiento!$B$7)</f>
        <v/>
      </c>
      <c r="C58" s="15">
        <f>IF(Seguimiento!$A$7="","",Seguimiento!$C$7&amp;"")</f>
        <v/>
      </c>
      <c r="D58" s="16" t="n">
        <v>46353</v>
      </c>
      <c r="E58" s="15">
        <f>IF(Seguimiento!$AF$7="","",IF(ISNUMBER(Seguimiento!$AF$7),IF(Seguimiento!$AF$7&lt;=1,Seguimiento!$AF$7*100,Seguimiento!$AF$7),IFERROR(IF(VALUE(SUBSTITUTE(SUBSTITUTE(Seguimiento!$AF$7,"%",""),",","."))&lt;=1,VALUE(SUBSTITUTE(SUBSTITUTE(Seguimiento!$AF$7,"%",""),",","."))*100,VALUE(SUBSTITUTE(SUBSTITUTE(Seguimiento!$AF$7,"%",""),",","."))),"")))</f>
        <v/>
      </c>
      <c r="F58" s="15">
        <f>IF(Seguimiento!$AF$7="","",Seguimiento!$AG$7&amp;"")</f>
        <v/>
      </c>
    </row>
    <row r="59">
      <c r="A59" s="15">
        <f>IF(Seguimiento!$A$7="","",Seguimiento!$A$7)</f>
        <v/>
      </c>
      <c r="B59" s="15">
        <f>IF(Seguimiento!$A$7="","",Seguimiento!$B$7)</f>
        <v/>
      </c>
      <c r="C59" s="15">
        <f>IF(Seguimiento!$A$7="","",Seguimiento!$C$7&amp;"")</f>
        <v/>
      </c>
      <c r="D59" s="16" t="n">
        <v>46360</v>
      </c>
      <c r="E59" s="15">
        <f>IF(Seguimiento!$AH$7="","",IF(ISNUMBER(Seguimiento!$AH$7),IF(Seguimiento!$AH$7&lt;=1,Seguimiento!$AH$7*100,Seguimiento!$AH$7),IFERROR(IF(VALUE(SUBSTITUTE(SUBSTITUTE(Seguimiento!$AH$7,"%",""),",","."))&lt;=1,VALUE(SUBSTITUTE(SUBSTITUTE(Seguimiento!$AH$7,"%",""),",","."))*100,VALUE(SUBSTITUTE(SUBSTITUTE(Seguimiento!$AH$7,"%",""),",","."))),"")))</f>
        <v/>
      </c>
      <c r="F59" s="15">
        <f>IF(Seguimiento!$AH$7="","",Seguimiento!$AI$7&amp;"")</f>
        <v/>
      </c>
    </row>
    <row r="60">
      <c r="A60" s="15">
        <f>IF(Seguimiento!$A$7="","",Seguimiento!$A$7)</f>
        <v/>
      </c>
      <c r="B60" s="15">
        <f>IF(Seguimiento!$A$7="","",Seguimiento!$B$7)</f>
        <v/>
      </c>
      <c r="C60" s="15">
        <f>IF(Seguimiento!$A$7="","",Seguimiento!$C$7&amp;"")</f>
        <v/>
      </c>
      <c r="D60" s="16" t="n">
        <v>46367</v>
      </c>
      <c r="E60" s="15">
        <f>IF(Seguimiento!$AJ$7="","",IF(ISNUMBER(Seguimiento!$AJ$7),IF(Seguimiento!$AJ$7&lt;=1,Seguimiento!$AJ$7*100,Seguimiento!$AJ$7),IFERROR(IF(VALUE(SUBSTITUTE(SUBSTITUTE(Seguimiento!$AJ$7,"%",""),",","."))&lt;=1,VALUE(SUBSTITUTE(SUBSTITUTE(Seguimiento!$AJ$7,"%",""),",","."))*100,VALUE(SUBSTITUTE(SUBSTITUTE(Seguimiento!$AJ$7,"%",""),",","."))),"")))</f>
        <v/>
      </c>
      <c r="F60" s="15">
        <f>IF(Seguimiento!$AJ$7="","",Seguimiento!$AK$7&amp;"")</f>
        <v/>
      </c>
    </row>
    <row r="61">
      <c r="A61" s="15">
        <f>IF(Seguimiento!$A$7="","",Seguimiento!$A$7)</f>
        <v/>
      </c>
      <c r="B61" s="15">
        <f>IF(Seguimiento!$A$7="","",Seguimiento!$B$7)</f>
        <v/>
      </c>
      <c r="C61" s="15">
        <f>IF(Seguimiento!$A$7="","",Seguimiento!$C$7&amp;"")</f>
        <v/>
      </c>
      <c r="D61" s="16" t="n">
        <v>46374</v>
      </c>
      <c r="E61" s="15">
        <f>IF(Seguimiento!$AL$7="","",IF(ISNUMBER(Seguimiento!$AL$7),IF(Seguimiento!$AL$7&lt;=1,Seguimiento!$AL$7*100,Seguimiento!$AL$7),IFERROR(IF(VALUE(SUBSTITUTE(SUBSTITUTE(Seguimiento!$AL$7,"%",""),",","."))&lt;=1,VALUE(SUBSTITUTE(SUBSTITUTE(Seguimiento!$AL$7,"%",""),",","."))*100,VALUE(SUBSTITUTE(SUBSTITUTE(Seguimiento!$AL$7,"%",""),",","."))),"")))</f>
        <v/>
      </c>
      <c r="F61" s="15">
        <f>IF(Seguimiento!$AL$7="","",Seguimiento!$AM$7&amp;"")</f>
        <v/>
      </c>
    </row>
    <row r="62">
      <c r="A62" s="15">
        <f>IF(Seguimiento!$A$8="","",Seguimiento!$A$8)</f>
        <v/>
      </c>
      <c r="B62" s="15">
        <f>IF(Seguimiento!$A$8="","",Seguimiento!$B$8)</f>
        <v/>
      </c>
      <c r="C62" s="15">
        <f>IF(Seguimiento!$A$8="","",Seguimiento!$C$8&amp;"")</f>
        <v/>
      </c>
      <c r="D62" s="16" t="n">
        <v>46297</v>
      </c>
      <c r="E62" s="15">
        <f>IF(Seguimiento!$Q$8="","",IF(ISNUMBER(Seguimiento!$Q$8),IF(Seguimiento!$Q$8&lt;=1,Seguimiento!$Q$8*100,Seguimiento!$Q$8),IFERROR(IF(VALUE(SUBSTITUTE(SUBSTITUTE(Seguimiento!$Q$8,"%",""),",","."))&lt;=1,VALUE(SUBSTITUTE(SUBSTITUTE(Seguimiento!$Q$8,"%",""),",","."))*100,VALUE(SUBSTITUTE(SUBSTITUTE(Seguimiento!$Q$8,"%",""),",","."))),"")))</f>
        <v/>
      </c>
      <c r="F62" s="15">
        <f>IF(Seguimiento!$Q$8="","","Avance inicial (matriz MINAM)")</f>
        <v/>
      </c>
    </row>
    <row r="63">
      <c r="A63" s="15">
        <f>IF(Seguimiento!$A$8="","",Seguimiento!$A$8)</f>
        <v/>
      </c>
      <c r="B63" s="15">
        <f>IF(Seguimiento!$A$8="","",Seguimiento!$B$8)</f>
        <v/>
      </c>
      <c r="C63" s="15">
        <f>IF(Seguimiento!$A$8="","",Seguimiento!$C$8&amp;"")</f>
        <v/>
      </c>
      <c r="D63" s="16" t="n">
        <v>46304</v>
      </c>
      <c r="E63" s="15">
        <f>IF(Seguimiento!$R$8="","",IF(ISNUMBER(Seguimiento!$R$8),IF(Seguimiento!$R$8&lt;=1,Seguimiento!$R$8*100,Seguimiento!$R$8),IFERROR(IF(VALUE(SUBSTITUTE(SUBSTITUTE(Seguimiento!$R$8,"%",""),",","."))&lt;=1,VALUE(SUBSTITUTE(SUBSTITUTE(Seguimiento!$R$8,"%",""),",","."))*100,VALUE(SUBSTITUTE(SUBSTITUTE(Seguimiento!$R$8,"%",""),",","."))),"")))</f>
        <v/>
      </c>
      <c r="F63" s="15">
        <f>IF(Seguimiento!$R$8="","",Seguimiento!$S$8&amp;"")</f>
        <v/>
      </c>
    </row>
    <row r="64">
      <c r="A64" s="15">
        <f>IF(Seguimiento!$A$8="","",Seguimiento!$A$8)</f>
        <v/>
      </c>
      <c r="B64" s="15">
        <f>IF(Seguimiento!$A$8="","",Seguimiento!$B$8)</f>
        <v/>
      </c>
      <c r="C64" s="15">
        <f>IF(Seguimiento!$A$8="","",Seguimiento!$C$8&amp;"")</f>
        <v/>
      </c>
      <c r="D64" s="16" t="n">
        <v>46311</v>
      </c>
      <c r="E64" s="15">
        <f>IF(Seguimiento!$T$8="","",IF(ISNUMBER(Seguimiento!$T$8),IF(Seguimiento!$T$8&lt;=1,Seguimiento!$T$8*100,Seguimiento!$T$8),IFERROR(IF(VALUE(SUBSTITUTE(SUBSTITUTE(Seguimiento!$T$8,"%",""),",","."))&lt;=1,VALUE(SUBSTITUTE(SUBSTITUTE(Seguimiento!$T$8,"%",""),",","."))*100,VALUE(SUBSTITUTE(SUBSTITUTE(Seguimiento!$T$8,"%",""),",","."))),"")))</f>
        <v/>
      </c>
      <c r="F64" s="15">
        <f>IF(Seguimiento!$T$8="","",Seguimiento!$U$8&amp;"")</f>
        <v/>
      </c>
    </row>
    <row r="65">
      <c r="A65" s="15">
        <f>IF(Seguimiento!$A$8="","",Seguimiento!$A$8)</f>
        <v/>
      </c>
      <c r="B65" s="15">
        <f>IF(Seguimiento!$A$8="","",Seguimiento!$B$8)</f>
        <v/>
      </c>
      <c r="C65" s="15">
        <f>IF(Seguimiento!$A$8="","",Seguimiento!$C$8&amp;"")</f>
        <v/>
      </c>
      <c r="D65" s="16" t="n">
        <v>46318</v>
      </c>
      <c r="E65" s="15">
        <f>IF(Seguimiento!$V$8="","",IF(ISNUMBER(Seguimiento!$V$8),IF(Seguimiento!$V$8&lt;=1,Seguimiento!$V$8*100,Seguimiento!$V$8),IFERROR(IF(VALUE(SUBSTITUTE(SUBSTITUTE(Seguimiento!$V$8,"%",""),",","."))&lt;=1,VALUE(SUBSTITUTE(SUBSTITUTE(Seguimiento!$V$8,"%",""),",","."))*100,VALUE(SUBSTITUTE(SUBSTITUTE(Seguimiento!$V$8,"%",""),",","."))),"")))</f>
        <v/>
      </c>
      <c r="F65" s="15">
        <f>IF(Seguimiento!$V$8="","",Seguimiento!$W$8&amp;"")</f>
        <v/>
      </c>
    </row>
    <row r="66">
      <c r="A66" s="15">
        <f>IF(Seguimiento!$A$8="","",Seguimiento!$A$8)</f>
        <v/>
      </c>
      <c r="B66" s="15">
        <f>IF(Seguimiento!$A$8="","",Seguimiento!$B$8)</f>
        <v/>
      </c>
      <c r="C66" s="15">
        <f>IF(Seguimiento!$A$8="","",Seguimiento!$C$8&amp;"")</f>
        <v/>
      </c>
      <c r="D66" s="16" t="n">
        <v>46325</v>
      </c>
      <c r="E66" s="15">
        <f>IF(Seguimiento!$X$8="","",IF(ISNUMBER(Seguimiento!$X$8),IF(Seguimiento!$X$8&lt;=1,Seguimiento!$X$8*100,Seguimiento!$X$8),IFERROR(IF(VALUE(SUBSTITUTE(SUBSTITUTE(Seguimiento!$X$8,"%",""),",","."))&lt;=1,VALUE(SUBSTITUTE(SUBSTITUTE(Seguimiento!$X$8,"%",""),",","."))*100,VALUE(SUBSTITUTE(SUBSTITUTE(Seguimiento!$X$8,"%",""),",","."))),"")))</f>
        <v/>
      </c>
      <c r="F66" s="15">
        <f>IF(Seguimiento!$X$8="","",Seguimiento!$Y$8&amp;"")</f>
        <v/>
      </c>
    </row>
    <row r="67">
      <c r="A67" s="15">
        <f>IF(Seguimiento!$A$8="","",Seguimiento!$A$8)</f>
        <v/>
      </c>
      <c r="B67" s="15">
        <f>IF(Seguimiento!$A$8="","",Seguimiento!$B$8)</f>
        <v/>
      </c>
      <c r="C67" s="15">
        <f>IF(Seguimiento!$A$8="","",Seguimiento!$C$8&amp;"")</f>
        <v/>
      </c>
      <c r="D67" s="16" t="n">
        <v>46332</v>
      </c>
      <c r="E67" s="15">
        <f>IF(Seguimiento!$Z$8="","",IF(ISNUMBER(Seguimiento!$Z$8),IF(Seguimiento!$Z$8&lt;=1,Seguimiento!$Z$8*100,Seguimiento!$Z$8),IFERROR(IF(VALUE(SUBSTITUTE(SUBSTITUTE(Seguimiento!$Z$8,"%",""),",","."))&lt;=1,VALUE(SUBSTITUTE(SUBSTITUTE(Seguimiento!$Z$8,"%",""),",","."))*100,VALUE(SUBSTITUTE(SUBSTITUTE(Seguimiento!$Z$8,"%",""),",","."))),"")))</f>
        <v/>
      </c>
      <c r="F67" s="15">
        <f>IF(Seguimiento!$Z$8="","",Seguimiento!$AA$8&amp;"")</f>
        <v/>
      </c>
    </row>
    <row r="68">
      <c r="A68" s="15">
        <f>IF(Seguimiento!$A$8="","",Seguimiento!$A$8)</f>
        <v/>
      </c>
      <c r="B68" s="15">
        <f>IF(Seguimiento!$A$8="","",Seguimiento!$B$8)</f>
        <v/>
      </c>
      <c r="C68" s="15">
        <f>IF(Seguimiento!$A$8="","",Seguimiento!$C$8&amp;"")</f>
        <v/>
      </c>
      <c r="D68" s="16" t="n">
        <v>46339</v>
      </c>
      <c r="E68" s="15">
        <f>IF(Seguimiento!$AB$8="","",IF(ISNUMBER(Seguimiento!$AB$8),IF(Seguimiento!$AB$8&lt;=1,Seguimiento!$AB$8*100,Seguimiento!$AB$8),IFERROR(IF(VALUE(SUBSTITUTE(SUBSTITUTE(Seguimiento!$AB$8,"%",""),",","."))&lt;=1,VALUE(SUBSTITUTE(SUBSTITUTE(Seguimiento!$AB$8,"%",""),",","."))*100,VALUE(SUBSTITUTE(SUBSTITUTE(Seguimiento!$AB$8,"%",""),",","."))),"")))</f>
        <v/>
      </c>
      <c r="F68" s="15">
        <f>IF(Seguimiento!$AB$8="","",Seguimiento!$AC$8&amp;"")</f>
        <v/>
      </c>
    </row>
    <row r="69">
      <c r="A69" s="15">
        <f>IF(Seguimiento!$A$8="","",Seguimiento!$A$8)</f>
        <v/>
      </c>
      <c r="B69" s="15">
        <f>IF(Seguimiento!$A$8="","",Seguimiento!$B$8)</f>
        <v/>
      </c>
      <c r="C69" s="15">
        <f>IF(Seguimiento!$A$8="","",Seguimiento!$C$8&amp;"")</f>
        <v/>
      </c>
      <c r="D69" s="16" t="n">
        <v>46346</v>
      </c>
      <c r="E69" s="15">
        <f>IF(Seguimiento!$AD$8="","",IF(ISNUMBER(Seguimiento!$AD$8),IF(Seguimiento!$AD$8&lt;=1,Seguimiento!$AD$8*100,Seguimiento!$AD$8),IFERROR(IF(VALUE(SUBSTITUTE(SUBSTITUTE(Seguimiento!$AD$8,"%",""),",","."))&lt;=1,VALUE(SUBSTITUTE(SUBSTITUTE(Seguimiento!$AD$8,"%",""),",","."))*100,VALUE(SUBSTITUTE(SUBSTITUTE(Seguimiento!$AD$8,"%",""),",","."))),"")))</f>
        <v/>
      </c>
      <c r="F69" s="15">
        <f>IF(Seguimiento!$AD$8="","",Seguimiento!$AE$8&amp;"")</f>
        <v/>
      </c>
    </row>
    <row r="70">
      <c r="A70" s="15">
        <f>IF(Seguimiento!$A$8="","",Seguimiento!$A$8)</f>
        <v/>
      </c>
      <c r="B70" s="15">
        <f>IF(Seguimiento!$A$8="","",Seguimiento!$B$8)</f>
        <v/>
      </c>
      <c r="C70" s="15">
        <f>IF(Seguimiento!$A$8="","",Seguimiento!$C$8&amp;"")</f>
        <v/>
      </c>
      <c r="D70" s="16" t="n">
        <v>46353</v>
      </c>
      <c r="E70" s="15">
        <f>IF(Seguimiento!$AF$8="","",IF(ISNUMBER(Seguimiento!$AF$8),IF(Seguimiento!$AF$8&lt;=1,Seguimiento!$AF$8*100,Seguimiento!$AF$8),IFERROR(IF(VALUE(SUBSTITUTE(SUBSTITUTE(Seguimiento!$AF$8,"%",""),",","."))&lt;=1,VALUE(SUBSTITUTE(SUBSTITUTE(Seguimiento!$AF$8,"%",""),",","."))*100,VALUE(SUBSTITUTE(SUBSTITUTE(Seguimiento!$AF$8,"%",""),",","."))),"")))</f>
        <v/>
      </c>
      <c r="F70" s="15">
        <f>IF(Seguimiento!$AF$8="","",Seguimiento!$AG$8&amp;"")</f>
        <v/>
      </c>
    </row>
    <row r="71">
      <c r="A71" s="15">
        <f>IF(Seguimiento!$A$8="","",Seguimiento!$A$8)</f>
        <v/>
      </c>
      <c r="B71" s="15">
        <f>IF(Seguimiento!$A$8="","",Seguimiento!$B$8)</f>
        <v/>
      </c>
      <c r="C71" s="15">
        <f>IF(Seguimiento!$A$8="","",Seguimiento!$C$8&amp;"")</f>
        <v/>
      </c>
      <c r="D71" s="16" t="n">
        <v>46360</v>
      </c>
      <c r="E71" s="15">
        <f>IF(Seguimiento!$AH$8="","",IF(ISNUMBER(Seguimiento!$AH$8),IF(Seguimiento!$AH$8&lt;=1,Seguimiento!$AH$8*100,Seguimiento!$AH$8),IFERROR(IF(VALUE(SUBSTITUTE(SUBSTITUTE(Seguimiento!$AH$8,"%",""),",","."))&lt;=1,VALUE(SUBSTITUTE(SUBSTITUTE(Seguimiento!$AH$8,"%",""),",","."))*100,VALUE(SUBSTITUTE(SUBSTITUTE(Seguimiento!$AH$8,"%",""),",","."))),"")))</f>
        <v/>
      </c>
      <c r="F71" s="15">
        <f>IF(Seguimiento!$AH$8="","",Seguimiento!$AI$8&amp;"")</f>
        <v/>
      </c>
    </row>
    <row r="72">
      <c r="A72" s="15">
        <f>IF(Seguimiento!$A$8="","",Seguimiento!$A$8)</f>
        <v/>
      </c>
      <c r="B72" s="15">
        <f>IF(Seguimiento!$A$8="","",Seguimiento!$B$8)</f>
        <v/>
      </c>
      <c r="C72" s="15">
        <f>IF(Seguimiento!$A$8="","",Seguimiento!$C$8&amp;"")</f>
        <v/>
      </c>
      <c r="D72" s="16" t="n">
        <v>46367</v>
      </c>
      <c r="E72" s="15">
        <f>IF(Seguimiento!$AJ$8="","",IF(ISNUMBER(Seguimiento!$AJ$8),IF(Seguimiento!$AJ$8&lt;=1,Seguimiento!$AJ$8*100,Seguimiento!$AJ$8),IFERROR(IF(VALUE(SUBSTITUTE(SUBSTITUTE(Seguimiento!$AJ$8,"%",""),",","."))&lt;=1,VALUE(SUBSTITUTE(SUBSTITUTE(Seguimiento!$AJ$8,"%",""),",","."))*100,VALUE(SUBSTITUTE(SUBSTITUTE(Seguimiento!$AJ$8,"%",""),",","."))),"")))</f>
        <v/>
      </c>
      <c r="F72" s="15">
        <f>IF(Seguimiento!$AJ$8="","",Seguimiento!$AK$8&amp;"")</f>
        <v/>
      </c>
    </row>
    <row r="73">
      <c r="A73" s="15">
        <f>IF(Seguimiento!$A$8="","",Seguimiento!$A$8)</f>
        <v/>
      </c>
      <c r="B73" s="15">
        <f>IF(Seguimiento!$A$8="","",Seguimiento!$B$8)</f>
        <v/>
      </c>
      <c r="C73" s="15">
        <f>IF(Seguimiento!$A$8="","",Seguimiento!$C$8&amp;"")</f>
        <v/>
      </c>
      <c r="D73" s="16" t="n">
        <v>46374</v>
      </c>
      <c r="E73" s="15">
        <f>IF(Seguimiento!$AL$8="","",IF(ISNUMBER(Seguimiento!$AL$8),IF(Seguimiento!$AL$8&lt;=1,Seguimiento!$AL$8*100,Seguimiento!$AL$8),IFERROR(IF(VALUE(SUBSTITUTE(SUBSTITUTE(Seguimiento!$AL$8,"%",""),",","."))&lt;=1,VALUE(SUBSTITUTE(SUBSTITUTE(Seguimiento!$AL$8,"%",""),",","."))*100,VALUE(SUBSTITUTE(SUBSTITUTE(Seguimiento!$AL$8,"%",""),",","."))),"")))</f>
        <v/>
      </c>
      <c r="F73" s="15">
        <f>IF(Seguimiento!$AL$8="","",Seguimiento!$AM$8&amp;"")</f>
        <v/>
      </c>
    </row>
    <row r="74">
      <c r="A74" s="15">
        <f>IF(Seguimiento!$A$9="","",Seguimiento!$A$9)</f>
        <v/>
      </c>
      <c r="B74" s="15">
        <f>IF(Seguimiento!$A$9="","",Seguimiento!$B$9)</f>
        <v/>
      </c>
      <c r="C74" s="15">
        <f>IF(Seguimiento!$A$9="","",Seguimiento!$C$9&amp;"")</f>
        <v/>
      </c>
      <c r="D74" s="16" t="n">
        <v>46297</v>
      </c>
      <c r="E74" s="15">
        <f>IF(Seguimiento!$Q$9="","",IF(ISNUMBER(Seguimiento!$Q$9),IF(Seguimiento!$Q$9&lt;=1,Seguimiento!$Q$9*100,Seguimiento!$Q$9),IFERROR(IF(VALUE(SUBSTITUTE(SUBSTITUTE(Seguimiento!$Q$9,"%",""),",","."))&lt;=1,VALUE(SUBSTITUTE(SUBSTITUTE(Seguimiento!$Q$9,"%",""),",","."))*100,VALUE(SUBSTITUTE(SUBSTITUTE(Seguimiento!$Q$9,"%",""),",","."))),"")))</f>
        <v/>
      </c>
      <c r="F74" s="15">
        <f>IF(Seguimiento!$Q$9="","","Avance inicial (matriz MINAM)")</f>
        <v/>
      </c>
    </row>
    <row r="75">
      <c r="A75" s="15">
        <f>IF(Seguimiento!$A$9="","",Seguimiento!$A$9)</f>
        <v/>
      </c>
      <c r="B75" s="15">
        <f>IF(Seguimiento!$A$9="","",Seguimiento!$B$9)</f>
        <v/>
      </c>
      <c r="C75" s="15">
        <f>IF(Seguimiento!$A$9="","",Seguimiento!$C$9&amp;"")</f>
        <v/>
      </c>
      <c r="D75" s="16" t="n">
        <v>46304</v>
      </c>
      <c r="E75" s="15">
        <f>IF(Seguimiento!$R$9="","",IF(ISNUMBER(Seguimiento!$R$9),IF(Seguimiento!$R$9&lt;=1,Seguimiento!$R$9*100,Seguimiento!$R$9),IFERROR(IF(VALUE(SUBSTITUTE(SUBSTITUTE(Seguimiento!$R$9,"%",""),",","."))&lt;=1,VALUE(SUBSTITUTE(SUBSTITUTE(Seguimiento!$R$9,"%",""),",","."))*100,VALUE(SUBSTITUTE(SUBSTITUTE(Seguimiento!$R$9,"%",""),",","."))),"")))</f>
        <v/>
      </c>
      <c r="F75" s="15">
        <f>IF(Seguimiento!$R$9="","",Seguimiento!$S$9&amp;"")</f>
        <v/>
      </c>
    </row>
    <row r="76">
      <c r="A76" s="15">
        <f>IF(Seguimiento!$A$9="","",Seguimiento!$A$9)</f>
        <v/>
      </c>
      <c r="B76" s="15">
        <f>IF(Seguimiento!$A$9="","",Seguimiento!$B$9)</f>
        <v/>
      </c>
      <c r="C76" s="15">
        <f>IF(Seguimiento!$A$9="","",Seguimiento!$C$9&amp;"")</f>
        <v/>
      </c>
      <c r="D76" s="16" t="n">
        <v>46311</v>
      </c>
      <c r="E76" s="15">
        <f>IF(Seguimiento!$T$9="","",IF(ISNUMBER(Seguimiento!$T$9),IF(Seguimiento!$T$9&lt;=1,Seguimiento!$T$9*100,Seguimiento!$T$9),IFERROR(IF(VALUE(SUBSTITUTE(SUBSTITUTE(Seguimiento!$T$9,"%",""),",","."))&lt;=1,VALUE(SUBSTITUTE(SUBSTITUTE(Seguimiento!$T$9,"%",""),",","."))*100,VALUE(SUBSTITUTE(SUBSTITUTE(Seguimiento!$T$9,"%",""),",","."))),"")))</f>
        <v/>
      </c>
      <c r="F76" s="15">
        <f>IF(Seguimiento!$T$9="","",Seguimiento!$U$9&amp;"")</f>
        <v/>
      </c>
    </row>
    <row r="77">
      <c r="A77" s="15">
        <f>IF(Seguimiento!$A$9="","",Seguimiento!$A$9)</f>
        <v/>
      </c>
      <c r="B77" s="15">
        <f>IF(Seguimiento!$A$9="","",Seguimiento!$B$9)</f>
        <v/>
      </c>
      <c r="C77" s="15">
        <f>IF(Seguimiento!$A$9="","",Seguimiento!$C$9&amp;"")</f>
        <v/>
      </c>
      <c r="D77" s="16" t="n">
        <v>46318</v>
      </c>
      <c r="E77" s="15">
        <f>IF(Seguimiento!$V$9="","",IF(ISNUMBER(Seguimiento!$V$9),IF(Seguimiento!$V$9&lt;=1,Seguimiento!$V$9*100,Seguimiento!$V$9),IFERROR(IF(VALUE(SUBSTITUTE(SUBSTITUTE(Seguimiento!$V$9,"%",""),",","."))&lt;=1,VALUE(SUBSTITUTE(SUBSTITUTE(Seguimiento!$V$9,"%",""),",","."))*100,VALUE(SUBSTITUTE(SUBSTITUTE(Seguimiento!$V$9,"%",""),",","."))),"")))</f>
        <v/>
      </c>
      <c r="F77" s="15">
        <f>IF(Seguimiento!$V$9="","",Seguimiento!$W$9&amp;"")</f>
        <v/>
      </c>
    </row>
    <row r="78">
      <c r="A78" s="15">
        <f>IF(Seguimiento!$A$9="","",Seguimiento!$A$9)</f>
        <v/>
      </c>
      <c r="B78" s="15">
        <f>IF(Seguimiento!$A$9="","",Seguimiento!$B$9)</f>
        <v/>
      </c>
      <c r="C78" s="15">
        <f>IF(Seguimiento!$A$9="","",Seguimiento!$C$9&amp;"")</f>
        <v/>
      </c>
      <c r="D78" s="16" t="n">
        <v>46325</v>
      </c>
      <c r="E78" s="15">
        <f>IF(Seguimiento!$X$9="","",IF(ISNUMBER(Seguimiento!$X$9),IF(Seguimiento!$X$9&lt;=1,Seguimiento!$X$9*100,Seguimiento!$X$9),IFERROR(IF(VALUE(SUBSTITUTE(SUBSTITUTE(Seguimiento!$X$9,"%",""),",","."))&lt;=1,VALUE(SUBSTITUTE(SUBSTITUTE(Seguimiento!$X$9,"%",""),",","."))*100,VALUE(SUBSTITUTE(SUBSTITUTE(Seguimiento!$X$9,"%",""),",","."))),"")))</f>
        <v/>
      </c>
      <c r="F78" s="15">
        <f>IF(Seguimiento!$X$9="","",Seguimiento!$Y$9&amp;"")</f>
        <v/>
      </c>
    </row>
    <row r="79">
      <c r="A79" s="15">
        <f>IF(Seguimiento!$A$9="","",Seguimiento!$A$9)</f>
        <v/>
      </c>
      <c r="B79" s="15">
        <f>IF(Seguimiento!$A$9="","",Seguimiento!$B$9)</f>
        <v/>
      </c>
      <c r="C79" s="15">
        <f>IF(Seguimiento!$A$9="","",Seguimiento!$C$9&amp;"")</f>
        <v/>
      </c>
      <c r="D79" s="16" t="n">
        <v>46332</v>
      </c>
      <c r="E79" s="15">
        <f>IF(Seguimiento!$Z$9="","",IF(ISNUMBER(Seguimiento!$Z$9),IF(Seguimiento!$Z$9&lt;=1,Seguimiento!$Z$9*100,Seguimiento!$Z$9),IFERROR(IF(VALUE(SUBSTITUTE(SUBSTITUTE(Seguimiento!$Z$9,"%",""),",","."))&lt;=1,VALUE(SUBSTITUTE(SUBSTITUTE(Seguimiento!$Z$9,"%",""),",","."))*100,VALUE(SUBSTITUTE(SUBSTITUTE(Seguimiento!$Z$9,"%",""),",","."))),"")))</f>
        <v/>
      </c>
      <c r="F79" s="15">
        <f>IF(Seguimiento!$Z$9="","",Seguimiento!$AA$9&amp;"")</f>
        <v/>
      </c>
    </row>
    <row r="80">
      <c r="A80" s="15">
        <f>IF(Seguimiento!$A$9="","",Seguimiento!$A$9)</f>
        <v/>
      </c>
      <c r="B80" s="15">
        <f>IF(Seguimiento!$A$9="","",Seguimiento!$B$9)</f>
        <v/>
      </c>
      <c r="C80" s="15">
        <f>IF(Seguimiento!$A$9="","",Seguimiento!$C$9&amp;"")</f>
        <v/>
      </c>
      <c r="D80" s="16" t="n">
        <v>46339</v>
      </c>
      <c r="E80" s="15">
        <f>IF(Seguimiento!$AB$9="","",IF(ISNUMBER(Seguimiento!$AB$9),IF(Seguimiento!$AB$9&lt;=1,Seguimiento!$AB$9*100,Seguimiento!$AB$9),IFERROR(IF(VALUE(SUBSTITUTE(SUBSTITUTE(Seguimiento!$AB$9,"%",""),",","."))&lt;=1,VALUE(SUBSTITUTE(SUBSTITUTE(Seguimiento!$AB$9,"%",""),",","."))*100,VALUE(SUBSTITUTE(SUBSTITUTE(Seguimiento!$AB$9,"%",""),",","."))),"")))</f>
        <v/>
      </c>
      <c r="F80" s="15">
        <f>IF(Seguimiento!$AB$9="","",Seguimiento!$AC$9&amp;"")</f>
        <v/>
      </c>
    </row>
    <row r="81">
      <c r="A81" s="15">
        <f>IF(Seguimiento!$A$9="","",Seguimiento!$A$9)</f>
        <v/>
      </c>
      <c r="B81" s="15">
        <f>IF(Seguimiento!$A$9="","",Seguimiento!$B$9)</f>
        <v/>
      </c>
      <c r="C81" s="15">
        <f>IF(Seguimiento!$A$9="","",Seguimiento!$C$9&amp;"")</f>
        <v/>
      </c>
      <c r="D81" s="16" t="n">
        <v>46346</v>
      </c>
      <c r="E81" s="15">
        <f>IF(Seguimiento!$AD$9="","",IF(ISNUMBER(Seguimiento!$AD$9),IF(Seguimiento!$AD$9&lt;=1,Seguimiento!$AD$9*100,Seguimiento!$AD$9),IFERROR(IF(VALUE(SUBSTITUTE(SUBSTITUTE(Seguimiento!$AD$9,"%",""),",","."))&lt;=1,VALUE(SUBSTITUTE(SUBSTITUTE(Seguimiento!$AD$9,"%",""),",","."))*100,VALUE(SUBSTITUTE(SUBSTITUTE(Seguimiento!$AD$9,"%",""),",","."))),"")))</f>
        <v/>
      </c>
      <c r="F81" s="15">
        <f>IF(Seguimiento!$AD$9="","",Seguimiento!$AE$9&amp;"")</f>
        <v/>
      </c>
    </row>
    <row r="82">
      <c r="A82" s="15">
        <f>IF(Seguimiento!$A$9="","",Seguimiento!$A$9)</f>
        <v/>
      </c>
      <c r="B82" s="15">
        <f>IF(Seguimiento!$A$9="","",Seguimiento!$B$9)</f>
        <v/>
      </c>
      <c r="C82" s="15">
        <f>IF(Seguimiento!$A$9="","",Seguimiento!$C$9&amp;"")</f>
        <v/>
      </c>
      <c r="D82" s="16" t="n">
        <v>46353</v>
      </c>
      <c r="E82" s="15">
        <f>IF(Seguimiento!$AF$9="","",IF(ISNUMBER(Seguimiento!$AF$9),IF(Seguimiento!$AF$9&lt;=1,Seguimiento!$AF$9*100,Seguimiento!$AF$9),IFERROR(IF(VALUE(SUBSTITUTE(SUBSTITUTE(Seguimiento!$AF$9,"%",""),",","."))&lt;=1,VALUE(SUBSTITUTE(SUBSTITUTE(Seguimiento!$AF$9,"%",""),",","."))*100,VALUE(SUBSTITUTE(SUBSTITUTE(Seguimiento!$AF$9,"%",""),",","."))),"")))</f>
        <v/>
      </c>
      <c r="F82" s="15">
        <f>IF(Seguimiento!$AF$9="","",Seguimiento!$AG$9&amp;"")</f>
        <v/>
      </c>
    </row>
    <row r="83">
      <c r="A83" s="15">
        <f>IF(Seguimiento!$A$9="","",Seguimiento!$A$9)</f>
        <v/>
      </c>
      <c r="B83" s="15">
        <f>IF(Seguimiento!$A$9="","",Seguimiento!$B$9)</f>
        <v/>
      </c>
      <c r="C83" s="15">
        <f>IF(Seguimiento!$A$9="","",Seguimiento!$C$9&amp;"")</f>
        <v/>
      </c>
      <c r="D83" s="16" t="n">
        <v>46360</v>
      </c>
      <c r="E83" s="15">
        <f>IF(Seguimiento!$AH$9="","",IF(ISNUMBER(Seguimiento!$AH$9),IF(Seguimiento!$AH$9&lt;=1,Seguimiento!$AH$9*100,Seguimiento!$AH$9),IFERROR(IF(VALUE(SUBSTITUTE(SUBSTITUTE(Seguimiento!$AH$9,"%",""),",","."))&lt;=1,VALUE(SUBSTITUTE(SUBSTITUTE(Seguimiento!$AH$9,"%",""),",","."))*100,VALUE(SUBSTITUTE(SUBSTITUTE(Seguimiento!$AH$9,"%",""),",","."))),"")))</f>
        <v/>
      </c>
      <c r="F83" s="15">
        <f>IF(Seguimiento!$AH$9="","",Seguimiento!$AI$9&amp;"")</f>
        <v/>
      </c>
    </row>
    <row r="84">
      <c r="A84" s="15">
        <f>IF(Seguimiento!$A$9="","",Seguimiento!$A$9)</f>
        <v/>
      </c>
      <c r="B84" s="15">
        <f>IF(Seguimiento!$A$9="","",Seguimiento!$B$9)</f>
        <v/>
      </c>
      <c r="C84" s="15">
        <f>IF(Seguimiento!$A$9="","",Seguimiento!$C$9&amp;"")</f>
        <v/>
      </c>
      <c r="D84" s="16" t="n">
        <v>46367</v>
      </c>
      <c r="E84" s="15">
        <f>IF(Seguimiento!$AJ$9="","",IF(ISNUMBER(Seguimiento!$AJ$9),IF(Seguimiento!$AJ$9&lt;=1,Seguimiento!$AJ$9*100,Seguimiento!$AJ$9),IFERROR(IF(VALUE(SUBSTITUTE(SUBSTITUTE(Seguimiento!$AJ$9,"%",""),",","."))&lt;=1,VALUE(SUBSTITUTE(SUBSTITUTE(Seguimiento!$AJ$9,"%",""),",","."))*100,VALUE(SUBSTITUTE(SUBSTITUTE(Seguimiento!$AJ$9,"%",""),",","."))),"")))</f>
        <v/>
      </c>
      <c r="F84" s="15">
        <f>IF(Seguimiento!$AJ$9="","",Seguimiento!$AK$9&amp;"")</f>
        <v/>
      </c>
    </row>
    <row r="85">
      <c r="A85" s="15">
        <f>IF(Seguimiento!$A$9="","",Seguimiento!$A$9)</f>
        <v/>
      </c>
      <c r="B85" s="15">
        <f>IF(Seguimiento!$A$9="","",Seguimiento!$B$9)</f>
        <v/>
      </c>
      <c r="C85" s="15">
        <f>IF(Seguimiento!$A$9="","",Seguimiento!$C$9&amp;"")</f>
        <v/>
      </c>
      <c r="D85" s="16" t="n">
        <v>46374</v>
      </c>
      <c r="E85" s="15">
        <f>IF(Seguimiento!$AL$9="","",IF(ISNUMBER(Seguimiento!$AL$9),IF(Seguimiento!$AL$9&lt;=1,Seguimiento!$AL$9*100,Seguimiento!$AL$9),IFERROR(IF(VALUE(SUBSTITUTE(SUBSTITUTE(Seguimiento!$AL$9,"%",""),",","."))&lt;=1,VALUE(SUBSTITUTE(SUBSTITUTE(Seguimiento!$AL$9,"%",""),",","."))*100,VALUE(SUBSTITUTE(SUBSTITUTE(Seguimiento!$AL$9,"%",""),",","."))),"")))</f>
        <v/>
      </c>
      <c r="F85" s="15">
        <f>IF(Seguimiento!$AL$9="","",Seguimiento!$AM$9&amp;"")</f>
        <v/>
      </c>
    </row>
    <row r="86">
      <c r="A86" s="15">
        <f>IF(Seguimiento!$A$10="","",Seguimiento!$A$10)</f>
        <v/>
      </c>
      <c r="B86" s="15">
        <f>IF(Seguimiento!$A$10="","",Seguimiento!$B$10)</f>
        <v/>
      </c>
      <c r="C86" s="15">
        <f>IF(Seguimiento!$A$10="","",Seguimiento!$C$10&amp;"")</f>
        <v/>
      </c>
      <c r="D86" s="16" t="n">
        <v>46297</v>
      </c>
      <c r="E86" s="15">
        <f>IF(Seguimiento!$Q$10="","",IF(ISNUMBER(Seguimiento!$Q$10),IF(Seguimiento!$Q$10&lt;=1,Seguimiento!$Q$10*100,Seguimiento!$Q$10),IFERROR(IF(VALUE(SUBSTITUTE(SUBSTITUTE(Seguimiento!$Q$10,"%",""),",","."))&lt;=1,VALUE(SUBSTITUTE(SUBSTITUTE(Seguimiento!$Q$10,"%",""),",","."))*100,VALUE(SUBSTITUTE(SUBSTITUTE(Seguimiento!$Q$10,"%",""),",","."))),"")))</f>
        <v/>
      </c>
      <c r="F86" s="15">
        <f>IF(Seguimiento!$Q$10="","","Avance inicial (matriz MINAM)")</f>
        <v/>
      </c>
    </row>
    <row r="87">
      <c r="A87" s="15">
        <f>IF(Seguimiento!$A$10="","",Seguimiento!$A$10)</f>
        <v/>
      </c>
      <c r="B87" s="15">
        <f>IF(Seguimiento!$A$10="","",Seguimiento!$B$10)</f>
        <v/>
      </c>
      <c r="C87" s="15">
        <f>IF(Seguimiento!$A$10="","",Seguimiento!$C$10&amp;"")</f>
        <v/>
      </c>
      <c r="D87" s="16" t="n">
        <v>46304</v>
      </c>
      <c r="E87" s="15">
        <f>IF(Seguimiento!$R$10="","",IF(ISNUMBER(Seguimiento!$R$10),IF(Seguimiento!$R$10&lt;=1,Seguimiento!$R$10*100,Seguimiento!$R$10),IFERROR(IF(VALUE(SUBSTITUTE(SUBSTITUTE(Seguimiento!$R$10,"%",""),",","."))&lt;=1,VALUE(SUBSTITUTE(SUBSTITUTE(Seguimiento!$R$10,"%",""),",","."))*100,VALUE(SUBSTITUTE(SUBSTITUTE(Seguimiento!$R$10,"%",""),",","."))),"")))</f>
        <v/>
      </c>
      <c r="F87" s="15">
        <f>IF(Seguimiento!$R$10="","",Seguimiento!$S$10&amp;"")</f>
        <v/>
      </c>
    </row>
    <row r="88">
      <c r="A88" s="15">
        <f>IF(Seguimiento!$A$10="","",Seguimiento!$A$10)</f>
        <v/>
      </c>
      <c r="B88" s="15">
        <f>IF(Seguimiento!$A$10="","",Seguimiento!$B$10)</f>
        <v/>
      </c>
      <c r="C88" s="15">
        <f>IF(Seguimiento!$A$10="","",Seguimiento!$C$10&amp;"")</f>
        <v/>
      </c>
      <c r="D88" s="16" t="n">
        <v>46311</v>
      </c>
      <c r="E88" s="15">
        <f>IF(Seguimiento!$T$10="","",IF(ISNUMBER(Seguimiento!$T$10),IF(Seguimiento!$T$10&lt;=1,Seguimiento!$T$10*100,Seguimiento!$T$10),IFERROR(IF(VALUE(SUBSTITUTE(SUBSTITUTE(Seguimiento!$T$10,"%",""),",","."))&lt;=1,VALUE(SUBSTITUTE(SUBSTITUTE(Seguimiento!$T$10,"%",""),",","."))*100,VALUE(SUBSTITUTE(SUBSTITUTE(Seguimiento!$T$10,"%",""),",","."))),"")))</f>
        <v/>
      </c>
      <c r="F88" s="15">
        <f>IF(Seguimiento!$T$10="","",Seguimiento!$U$10&amp;"")</f>
        <v/>
      </c>
    </row>
    <row r="89">
      <c r="A89" s="15">
        <f>IF(Seguimiento!$A$10="","",Seguimiento!$A$10)</f>
        <v/>
      </c>
      <c r="B89" s="15">
        <f>IF(Seguimiento!$A$10="","",Seguimiento!$B$10)</f>
        <v/>
      </c>
      <c r="C89" s="15">
        <f>IF(Seguimiento!$A$10="","",Seguimiento!$C$10&amp;"")</f>
        <v/>
      </c>
      <c r="D89" s="16" t="n">
        <v>46318</v>
      </c>
      <c r="E89" s="15">
        <f>IF(Seguimiento!$V$10="","",IF(ISNUMBER(Seguimiento!$V$10),IF(Seguimiento!$V$10&lt;=1,Seguimiento!$V$10*100,Seguimiento!$V$10),IFERROR(IF(VALUE(SUBSTITUTE(SUBSTITUTE(Seguimiento!$V$10,"%",""),",","."))&lt;=1,VALUE(SUBSTITUTE(SUBSTITUTE(Seguimiento!$V$10,"%",""),",","."))*100,VALUE(SUBSTITUTE(SUBSTITUTE(Seguimiento!$V$10,"%",""),",","."))),"")))</f>
        <v/>
      </c>
      <c r="F89" s="15">
        <f>IF(Seguimiento!$V$10="","",Seguimiento!$W$10&amp;"")</f>
        <v/>
      </c>
    </row>
    <row r="90">
      <c r="A90" s="15">
        <f>IF(Seguimiento!$A$10="","",Seguimiento!$A$10)</f>
        <v/>
      </c>
      <c r="B90" s="15">
        <f>IF(Seguimiento!$A$10="","",Seguimiento!$B$10)</f>
        <v/>
      </c>
      <c r="C90" s="15">
        <f>IF(Seguimiento!$A$10="","",Seguimiento!$C$10&amp;"")</f>
        <v/>
      </c>
      <c r="D90" s="16" t="n">
        <v>46325</v>
      </c>
      <c r="E90" s="15">
        <f>IF(Seguimiento!$X$10="","",IF(ISNUMBER(Seguimiento!$X$10),IF(Seguimiento!$X$10&lt;=1,Seguimiento!$X$10*100,Seguimiento!$X$10),IFERROR(IF(VALUE(SUBSTITUTE(SUBSTITUTE(Seguimiento!$X$10,"%",""),",","."))&lt;=1,VALUE(SUBSTITUTE(SUBSTITUTE(Seguimiento!$X$10,"%",""),",","."))*100,VALUE(SUBSTITUTE(SUBSTITUTE(Seguimiento!$X$10,"%",""),",","."))),"")))</f>
        <v/>
      </c>
      <c r="F90" s="15">
        <f>IF(Seguimiento!$X$10="","",Seguimiento!$Y$10&amp;"")</f>
        <v/>
      </c>
    </row>
    <row r="91">
      <c r="A91" s="15">
        <f>IF(Seguimiento!$A$10="","",Seguimiento!$A$10)</f>
        <v/>
      </c>
      <c r="B91" s="15">
        <f>IF(Seguimiento!$A$10="","",Seguimiento!$B$10)</f>
        <v/>
      </c>
      <c r="C91" s="15">
        <f>IF(Seguimiento!$A$10="","",Seguimiento!$C$10&amp;"")</f>
        <v/>
      </c>
      <c r="D91" s="16" t="n">
        <v>46332</v>
      </c>
      <c r="E91" s="15">
        <f>IF(Seguimiento!$Z$10="","",IF(ISNUMBER(Seguimiento!$Z$10),IF(Seguimiento!$Z$10&lt;=1,Seguimiento!$Z$10*100,Seguimiento!$Z$10),IFERROR(IF(VALUE(SUBSTITUTE(SUBSTITUTE(Seguimiento!$Z$10,"%",""),",","."))&lt;=1,VALUE(SUBSTITUTE(SUBSTITUTE(Seguimiento!$Z$10,"%",""),",","."))*100,VALUE(SUBSTITUTE(SUBSTITUTE(Seguimiento!$Z$10,"%",""),",","."))),"")))</f>
        <v/>
      </c>
      <c r="F91" s="15">
        <f>IF(Seguimiento!$Z$10="","",Seguimiento!$AA$10&amp;"")</f>
        <v/>
      </c>
    </row>
    <row r="92">
      <c r="A92" s="15">
        <f>IF(Seguimiento!$A$10="","",Seguimiento!$A$10)</f>
        <v/>
      </c>
      <c r="B92" s="15">
        <f>IF(Seguimiento!$A$10="","",Seguimiento!$B$10)</f>
        <v/>
      </c>
      <c r="C92" s="15">
        <f>IF(Seguimiento!$A$10="","",Seguimiento!$C$10&amp;"")</f>
        <v/>
      </c>
      <c r="D92" s="16" t="n">
        <v>46339</v>
      </c>
      <c r="E92" s="15">
        <f>IF(Seguimiento!$AB$10="","",IF(ISNUMBER(Seguimiento!$AB$10),IF(Seguimiento!$AB$10&lt;=1,Seguimiento!$AB$10*100,Seguimiento!$AB$10),IFERROR(IF(VALUE(SUBSTITUTE(SUBSTITUTE(Seguimiento!$AB$10,"%",""),",","."))&lt;=1,VALUE(SUBSTITUTE(SUBSTITUTE(Seguimiento!$AB$10,"%",""),",","."))*100,VALUE(SUBSTITUTE(SUBSTITUTE(Seguimiento!$AB$10,"%",""),",","."))),"")))</f>
        <v/>
      </c>
      <c r="F92" s="15">
        <f>IF(Seguimiento!$AB$10="","",Seguimiento!$AC$10&amp;"")</f>
        <v/>
      </c>
    </row>
    <row r="93">
      <c r="A93" s="15">
        <f>IF(Seguimiento!$A$10="","",Seguimiento!$A$10)</f>
        <v/>
      </c>
      <c r="B93" s="15">
        <f>IF(Seguimiento!$A$10="","",Seguimiento!$B$10)</f>
        <v/>
      </c>
      <c r="C93" s="15">
        <f>IF(Seguimiento!$A$10="","",Seguimiento!$C$10&amp;"")</f>
        <v/>
      </c>
      <c r="D93" s="16" t="n">
        <v>46346</v>
      </c>
      <c r="E93" s="15">
        <f>IF(Seguimiento!$AD$10="","",IF(ISNUMBER(Seguimiento!$AD$10),IF(Seguimiento!$AD$10&lt;=1,Seguimiento!$AD$10*100,Seguimiento!$AD$10),IFERROR(IF(VALUE(SUBSTITUTE(SUBSTITUTE(Seguimiento!$AD$10,"%",""),",","."))&lt;=1,VALUE(SUBSTITUTE(SUBSTITUTE(Seguimiento!$AD$10,"%",""),",","."))*100,VALUE(SUBSTITUTE(SUBSTITUTE(Seguimiento!$AD$10,"%",""),",","."))),"")))</f>
        <v/>
      </c>
      <c r="F93" s="15">
        <f>IF(Seguimiento!$AD$10="","",Seguimiento!$AE$10&amp;"")</f>
        <v/>
      </c>
    </row>
    <row r="94">
      <c r="A94" s="15">
        <f>IF(Seguimiento!$A$10="","",Seguimiento!$A$10)</f>
        <v/>
      </c>
      <c r="B94" s="15">
        <f>IF(Seguimiento!$A$10="","",Seguimiento!$B$10)</f>
        <v/>
      </c>
      <c r="C94" s="15">
        <f>IF(Seguimiento!$A$10="","",Seguimiento!$C$10&amp;"")</f>
        <v/>
      </c>
      <c r="D94" s="16" t="n">
        <v>46353</v>
      </c>
      <c r="E94" s="15">
        <f>IF(Seguimiento!$AF$10="","",IF(ISNUMBER(Seguimiento!$AF$10),IF(Seguimiento!$AF$10&lt;=1,Seguimiento!$AF$10*100,Seguimiento!$AF$10),IFERROR(IF(VALUE(SUBSTITUTE(SUBSTITUTE(Seguimiento!$AF$10,"%",""),",","."))&lt;=1,VALUE(SUBSTITUTE(SUBSTITUTE(Seguimiento!$AF$10,"%",""),",","."))*100,VALUE(SUBSTITUTE(SUBSTITUTE(Seguimiento!$AF$10,"%",""),",","."))),"")))</f>
        <v/>
      </c>
      <c r="F94" s="15">
        <f>IF(Seguimiento!$AF$10="","",Seguimiento!$AG$10&amp;"")</f>
        <v/>
      </c>
    </row>
    <row r="95">
      <c r="A95" s="15">
        <f>IF(Seguimiento!$A$10="","",Seguimiento!$A$10)</f>
        <v/>
      </c>
      <c r="B95" s="15">
        <f>IF(Seguimiento!$A$10="","",Seguimiento!$B$10)</f>
        <v/>
      </c>
      <c r="C95" s="15">
        <f>IF(Seguimiento!$A$10="","",Seguimiento!$C$10&amp;"")</f>
        <v/>
      </c>
      <c r="D95" s="16" t="n">
        <v>46360</v>
      </c>
      <c r="E95" s="15">
        <f>IF(Seguimiento!$AH$10="","",IF(ISNUMBER(Seguimiento!$AH$10),IF(Seguimiento!$AH$10&lt;=1,Seguimiento!$AH$10*100,Seguimiento!$AH$10),IFERROR(IF(VALUE(SUBSTITUTE(SUBSTITUTE(Seguimiento!$AH$10,"%",""),",","."))&lt;=1,VALUE(SUBSTITUTE(SUBSTITUTE(Seguimiento!$AH$10,"%",""),",","."))*100,VALUE(SUBSTITUTE(SUBSTITUTE(Seguimiento!$AH$10,"%",""),",","."))),"")))</f>
        <v/>
      </c>
      <c r="F95" s="15">
        <f>IF(Seguimiento!$AH$10="","",Seguimiento!$AI$10&amp;"")</f>
        <v/>
      </c>
    </row>
    <row r="96">
      <c r="A96" s="15">
        <f>IF(Seguimiento!$A$10="","",Seguimiento!$A$10)</f>
        <v/>
      </c>
      <c r="B96" s="15">
        <f>IF(Seguimiento!$A$10="","",Seguimiento!$B$10)</f>
        <v/>
      </c>
      <c r="C96" s="15">
        <f>IF(Seguimiento!$A$10="","",Seguimiento!$C$10&amp;"")</f>
        <v/>
      </c>
      <c r="D96" s="16" t="n">
        <v>46367</v>
      </c>
      <c r="E96" s="15">
        <f>IF(Seguimiento!$AJ$10="","",IF(ISNUMBER(Seguimiento!$AJ$10),IF(Seguimiento!$AJ$10&lt;=1,Seguimiento!$AJ$10*100,Seguimiento!$AJ$10),IFERROR(IF(VALUE(SUBSTITUTE(SUBSTITUTE(Seguimiento!$AJ$10,"%",""),",","."))&lt;=1,VALUE(SUBSTITUTE(SUBSTITUTE(Seguimiento!$AJ$10,"%",""),",","."))*100,VALUE(SUBSTITUTE(SUBSTITUTE(Seguimiento!$AJ$10,"%",""),",","."))),"")))</f>
        <v/>
      </c>
      <c r="F96" s="15">
        <f>IF(Seguimiento!$AJ$10="","",Seguimiento!$AK$10&amp;"")</f>
        <v/>
      </c>
    </row>
    <row r="97">
      <c r="A97" s="15">
        <f>IF(Seguimiento!$A$10="","",Seguimiento!$A$10)</f>
        <v/>
      </c>
      <c r="B97" s="15">
        <f>IF(Seguimiento!$A$10="","",Seguimiento!$B$10)</f>
        <v/>
      </c>
      <c r="C97" s="15">
        <f>IF(Seguimiento!$A$10="","",Seguimiento!$C$10&amp;"")</f>
        <v/>
      </c>
      <c r="D97" s="16" t="n">
        <v>46374</v>
      </c>
      <c r="E97" s="15">
        <f>IF(Seguimiento!$AL$10="","",IF(ISNUMBER(Seguimiento!$AL$10),IF(Seguimiento!$AL$10&lt;=1,Seguimiento!$AL$10*100,Seguimiento!$AL$10),IFERROR(IF(VALUE(SUBSTITUTE(SUBSTITUTE(Seguimiento!$AL$10,"%",""),",","."))&lt;=1,VALUE(SUBSTITUTE(SUBSTITUTE(Seguimiento!$AL$10,"%",""),",","."))*100,VALUE(SUBSTITUTE(SUBSTITUTE(Seguimiento!$AL$10,"%",""),",","."))),"")))</f>
        <v/>
      </c>
      <c r="F97" s="15">
        <f>IF(Seguimiento!$AL$10="","",Seguimiento!$AM$10&amp;"")</f>
        <v/>
      </c>
    </row>
    <row r="98">
      <c r="A98" s="15">
        <f>IF(Seguimiento!$A$11="","",Seguimiento!$A$11)</f>
        <v/>
      </c>
      <c r="B98" s="15">
        <f>IF(Seguimiento!$A$11="","",Seguimiento!$B$11)</f>
        <v/>
      </c>
      <c r="C98" s="15">
        <f>IF(Seguimiento!$A$11="","",Seguimiento!$C$11&amp;"")</f>
        <v/>
      </c>
      <c r="D98" s="16" t="n">
        <v>46297</v>
      </c>
      <c r="E98" s="15">
        <f>IF(Seguimiento!$Q$11="","",IF(ISNUMBER(Seguimiento!$Q$11),IF(Seguimiento!$Q$11&lt;=1,Seguimiento!$Q$11*100,Seguimiento!$Q$11),IFERROR(IF(VALUE(SUBSTITUTE(SUBSTITUTE(Seguimiento!$Q$11,"%",""),",","."))&lt;=1,VALUE(SUBSTITUTE(SUBSTITUTE(Seguimiento!$Q$11,"%",""),",","."))*100,VALUE(SUBSTITUTE(SUBSTITUTE(Seguimiento!$Q$11,"%",""),",","."))),"")))</f>
        <v/>
      </c>
      <c r="F98" s="15">
        <f>IF(Seguimiento!$Q$11="","","Avance inicial (matriz MINAM)")</f>
        <v/>
      </c>
    </row>
    <row r="99">
      <c r="A99" s="15">
        <f>IF(Seguimiento!$A$11="","",Seguimiento!$A$11)</f>
        <v/>
      </c>
      <c r="B99" s="15">
        <f>IF(Seguimiento!$A$11="","",Seguimiento!$B$11)</f>
        <v/>
      </c>
      <c r="C99" s="15">
        <f>IF(Seguimiento!$A$11="","",Seguimiento!$C$11&amp;"")</f>
        <v/>
      </c>
      <c r="D99" s="16" t="n">
        <v>46304</v>
      </c>
      <c r="E99" s="15">
        <f>IF(Seguimiento!$R$11="","",IF(ISNUMBER(Seguimiento!$R$11),IF(Seguimiento!$R$11&lt;=1,Seguimiento!$R$11*100,Seguimiento!$R$11),IFERROR(IF(VALUE(SUBSTITUTE(SUBSTITUTE(Seguimiento!$R$11,"%",""),",","."))&lt;=1,VALUE(SUBSTITUTE(SUBSTITUTE(Seguimiento!$R$11,"%",""),",","."))*100,VALUE(SUBSTITUTE(SUBSTITUTE(Seguimiento!$R$11,"%",""),",","."))),"")))</f>
        <v/>
      </c>
      <c r="F99" s="15">
        <f>IF(Seguimiento!$R$11="","",Seguimiento!$S$11&amp;"")</f>
        <v/>
      </c>
    </row>
    <row r="100">
      <c r="A100" s="15">
        <f>IF(Seguimiento!$A$11="","",Seguimiento!$A$11)</f>
        <v/>
      </c>
      <c r="B100" s="15">
        <f>IF(Seguimiento!$A$11="","",Seguimiento!$B$11)</f>
        <v/>
      </c>
      <c r="C100" s="15">
        <f>IF(Seguimiento!$A$11="","",Seguimiento!$C$11&amp;"")</f>
        <v/>
      </c>
      <c r="D100" s="16" t="n">
        <v>46311</v>
      </c>
      <c r="E100" s="15">
        <f>IF(Seguimiento!$T$11="","",IF(ISNUMBER(Seguimiento!$T$11),IF(Seguimiento!$T$11&lt;=1,Seguimiento!$T$11*100,Seguimiento!$T$11),IFERROR(IF(VALUE(SUBSTITUTE(SUBSTITUTE(Seguimiento!$T$11,"%",""),",","."))&lt;=1,VALUE(SUBSTITUTE(SUBSTITUTE(Seguimiento!$T$11,"%",""),",","."))*100,VALUE(SUBSTITUTE(SUBSTITUTE(Seguimiento!$T$11,"%",""),",","."))),"")))</f>
        <v/>
      </c>
      <c r="F100" s="15">
        <f>IF(Seguimiento!$T$11="","",Seguimiento!$U$11&amp;"")</f>
        <v/>
      </c>
    </row>
    <row r="101">
      <c r="A101" s="15">
        <f>IF(Seguimiento!$A$11="","",Seguimiento!$A$11)</f>
        <v/>
      </c>
      <c r="B101" s="15">
        <f>IF(Seguimiento!$A$11="","",Seguimiento!$B$11)</f>
        <v/>
      </c>
      <c r="C101" s="15">
        <f>IF(Seguimiento!$A$11="","",Seguimiento!$C$11&amp;"")</f>
        <v/>
      </c>
      <c r="D101" s="16" t="n">
        <v>46318</v>
      </c>
      <c r="E101" s="15">
        <f>IF(Seguimiento!$V$11="","",IF(ISNUMBER(Seguimiento!$V$11),IF(Seguimiento!$V$11&lt;=1,Seguimiento!$V$11*100,Seguimiento!$V$11),IFERROR(IF(VALUE(SUBSTITUTE(SUBSTITUTE(Seguimiento!$V$11,"%",""),",","."))&lt;=1,VALUE(SUBSTITUTE(SUBSTITUTE(Seguimiento!$V$11,"%",""),",","."))*100,VALUE(SUBSTITUTE(SUBSTITUTE(Seguimiento!$V$11,"%",""),",","."))),"")))</f>
        <v/>
      </c>
      <c r="F101" s="15">
        <f>IF(Seguimiento!$V$11="","",Seguimiento!$W$11&amp;"")</f>
        <v/>
      </c>
    </row>
    <row r="102">
      <c r="A102" s="15">
        <f>IF(Seguimiento!$A$11="","",Seguimiento!$A$11)</f>
        <v/>
      </c>
      <c r="B102" s="15">
        <f>IF(Seguimiento!$A$11="","",Seguimiento!$B$11)</f>
        <v/>
      </c>
      <c r="C102" s="15">
        <f>IF(Seguimiento!$A$11="","",Seguimiento!$C$11&amp;"")</f>
        <v/>
      </c>
      <c r="D102" s="16" t="n">
        <v>46325</v>
      </c>
      <c r="E102" s="15">
        <f>IF(Seguimiento!$X$11="","",IF(ISNUMBER(Seguimiento!$X$11),IF(Seguimiento!$X$11&lt;=1,Seguimiento!$X$11*100,Seguimiento!$X$11),IFERROR(IF(VALUE(SUBSTITUTE(SUBSTITUTE(Seguimiento!$X$11,"%",""),",","."))&lt;=1,VALUE(SUBSTITUTE(SUBSTITUTE(Seguimiento!$X$11,"%",""),",","."))*100,VALUE(SUBSTITUTE(SUBSTITUTE(Seguimiento!$X$11,"%",""),",","."))),"")))</f>
        <v/>
      </c>
      <c r="F102" s="15">
        <f>IF(Seguimiento!$X$11="","",Seguimiento!$Y$11&amp;"")</f>
        <v/>
      </c>
    </row>
    <row r="103">
      <c r="A103" s="15">
        <f>IF(Seguimiento!$A$11="","",Seguimiento!$A$11)</f>
        <v/>
      </c>
      <c r="B103" s="15">
        <f>IF(Seguimiento!$A$11="","",Seguimiento!$B$11)</f>
        <v/>
      </c>
      <c r="C103" s="15">
        <f>IF(Seguimiento!$A$11="","",Seguimiento!$C$11&amp;"")</f>
        <v/>
      </c>
      <c r="D103" s="16" t="n">
        <v>46332</v>
      </c>
      <c r="E103" s="15">
        <f>IF(Seguimiento!$Z$11="","",IF(ISNUMBER(Seguimiento!$Z$11),IF(Seguimiento!$Z$11&lt;=1,Seguimiento!$Z$11*100,Seguimiento!$Z$11),IFERROR(IF(VALUE(SUBSTITUTE(SUBSTITUTE(Seguimiento!$Z$11,"%",""),",","."))&lt;=1,VALUE(SUBSTITUTE(SUBSTITUTE(Seguimiento!$Z$11,"%",""),",","."))*100,VALUE(SUBSTITUTE(SUBSTITUTE(Seguimiento!$Z$11,"%",""),",","."))),"")))</f>
        <v/>
      </c>
      <c r="F103" s="15">
        <f>IF(Seguimiento!$Z$11="","",Seguimiento!$AA$11&amp;"")</f>
        <v/>
      </c>
    </row>
    <row r="104">
      <c r="A104" s="15">
        <f>IF(Seguimiento!$A$11="","",Seguimiento!$A$11)</f>
        <v/>
      </c>
      <c r="B104" s="15">
        <f>IF(Seguimiento!$A$11="","",Seguimiento!$B$11)</f>
        <v/>
      </c>
      <c r="C104" s="15">
        <f>IF(Seguimiento!$A$11="","",Seguimiento!$C$11&amp;"")</f>
        <v/>
      </c>
      <c r="D104" s="16" t="n">
        <v>46339</v>
      </c>
      <c r="E104" s="15">
        <f>IF(Seguimiento!$AB$11="","",IF(ISNUMBER(Seguimiento!$AB$11),IF(Seguimiento!$AB$11&lt;=1,Seguimiento!$AB$11*100,Seguimiento!$AB$11),IFERROR(IF(VALUE(SUBSTITUTE(SUBSTITUTE(Seguimiento!$AB$11,"%",""),",","."))&lt;=1,VALUE(SUBSTITUTE(SUBSTITUTE(Seguimiento!$AB$11,"%",""),",","."))*100,VALUE(SUBSTITUTE(SUBSTITUTE(Seguimiento!$AB$11,"%",""),",","."))),"")))</f>
        <v/>
      </c>
      <c r="F104" s="15">
        <f>IF(Seguimiento!$AB$11="","",Seguimiento!$AC$11&amp;"")</f>
        <v/>
      </c>
    </row>
    <row r="105">
      <c r="A105" s="15">
        <f>IF(Seguimiento!$A$11="","",Seguimiento!$A$11)</f>
        <v/>
      </c>
      <c r="B105" s="15">
        <f>IF(Seguimiento!$A$11="","",Seguimiento!$B$11)</f>
        <v/>
      </c>
      <c r="C105" s="15">
        <f>IF(Seguimiento!$A$11="","",Seguimiento!$C$11&amp;"")</f>
        <v/>
      </c>
      <c r="D105" s="16" t="n">
        <v>46346</v>
      </c>
      <c r="E105" s="15">
        <f>IF(Seguimiento!$AD$11="","",IF(ISNUMBER(Seguimiento!$AD$11),IF(Seguimiento!$AD$11&lt;=1,Seguimiento!$AD$11*100,Seguimiento!$AD$11),IFERROR(IF(VALUE(SUBSTITUTE(SUBSTITUTE(Seguimiento!$AD$11,"%",""),",","."))&lt;=1,VALUE(SUBSTITUTE(SUBSTITUTE(Seguimiento!$AD$11,"%",""),",","."))*100,VALUE(SUBSTITUTE(SUBSTITUTE(Seguimiento!$AD$11,"%",""),",","."))),"")))</f>
        <v/>
      </c>
      <c r="F105" s="15">
        <f>IF(Seguimiento!$AD$11="","",Seguimiento!$AE$11&amp;"")</f>
        <v/>
      </c>
    </row>
    <row r="106">
      <c r="A106" s="15">
        <f>IF(Seguimiento!$A$11="","",Seguimiento!$A$11)</f>
        <v/>
      </c>
      <c r="B106" s="15">
        <f>IF(Seguimiento!$A$11="","",Seguimiento!$B$11)</f>
        <v/>
      </c>
      <c r="C106" s="15">
        <f>IF(Seguimiento!$A$11="","",Seguimiento!$C$11&amp;"")</f>
        <v/>
      </c>
      <c r="D106" s="16" t="n">
        <v>46353</v>
      </c>
      <c r="E106" s="15">
        <f>IF(Seguimiento!$AF$11="","",IF(ISNUMBER(Seguimiento!$AF$11),IF(Seguimiento!$AF$11&lt;=1,Seguimiento!$AF$11*100,Seguimiento!$AF$11),IFERROR(IF(VALUE(SUBSTITUTE(SUBSTITUTE(Seguimiento!$AF$11,"%",""),",","."))&lt;=1,VALUE(SUBSTITUTE(SUBSTITUTE(Seguimiento!$AF$11,"%",""),",","."))*100,VALUE(SUBSTITUTE(SUBSTITUTE(Seguimiento!$AF$11,"%",""),",","."))),"")))</f>
        <v/>
      </c>
      <c r="F106" s="15">
        <f>IF(Seguimiento!$AF$11="","",Seguimiento!$AG$11&amp;"")</f>
        <v/>
      </c>
    </row>
    <row r="107">
      <c r="A107" s="15">
        <f>IF(Seguimiento!$A$11="","",Seguimiento!$A$11)</f>
        <v/>
      </c>
      <c r="B107" s="15">
        <f>IF(Seguimiento!$A$11="","",Seguimiento!$B$11)</f>
        <v/>
      </c>
      <c r="C107" s="15">
        <f>IF(Seguimiento!$A$11="","",Seguimiento!$C$11&amp;"")</f>
        <v/>
      </c>
      <c r="D107" s="16" t="n">
        <v>46360</v>
      </c>
      <c r="E107" s="15">
        <f>IF(Seguimiento!$AH$11="","",IF(ISNUMBER(Seguimiento!$AH$11),IF(Seguimiento!$AH$11&lt;=1,Seguimiento!$AH$11*100,Seguimiento!$AH$11),IFERROR(IF(VALUE(SUBSTITUTE(SUBSTITUTE(Seguimiento!$AH$11,"%",""),",","."))&lt;=1,VALUE(SUBSTITUTE(SUBSTITUTE(Seguimiento!$AH$11,"%",""),",","."))*100,VALUE(SUBSTITUTE(SUBSTITUTE(Seguimiento!$AH$11,"%",""),",","."))),"")))</f>
        <v/>
      </c>
      <c r="F107" s="15">
        <f>IF(Seguimiento!$AH$11="","",Seguimiento!$AI$11&amp;"")</f>
        <v/>
      </c>
    </row>
    <row r="108">
      <c r="A108" s="15">
        <f>IF(Seguimiento!$A$11="","",Seguimiento!$A$11)</f>
        <v/>
      </c>
      <c r="B108" s="15">
        <f>IF(Seguimiento!$A$11="","",Seguimiento!$B$11)</f>
        <v/>
      </c>
      <c r="C108" s="15">
        <f>IF(Seguimiento!$A$11="","",Seguimiento!$C$11&amp;"")</f>
        <v/>
      </c>
      <c r="D108" s="16" t="n">
        <v>46367</v>
      </c>
      <c r="E108" s="15">
        <f>IF(Seguimiento!$AJ$11="","",IF(ISNUMBER(Seguimiento!$AJ$11),IF(Seguimiento!$AJ$11&lt;=1,Seguimiento!$AJ$11*100,Seguimiento!$AJ$11),IFERROR(IF(VALUE(SUBSTITUTE(SUBSTITUTE(Seguimiento!$AJ$11,"%",""),",","."))&lt;=1,VALUE(SUBSTITUTE(SUBSTITUTE(Seguimiento!$AJ$11,"%",""),",","."))*100,VALUE(SUBSTITUTE(SUBSTITUTE(Seguimiento!$AJ$11,"%",""),",","."))),"")))</f>
        <v/>
      </c>
      <c r="F108" s="15">
        <f>IF(Seguimiento!$AJ$11="","",Seguimiento!$AK$11&amp;"")</f>
        <v/>
      </c>
    </row>
    <row r="109">
      <c r="A109" s="15">
        <f>IF(Seguimiento!$A$11="","",Seguimiento!$A$11)</f>
        <v/>
      </c>
      <c r="B109" s="15">
        <f>IF(Seguimiento!$A$11="","",Seguimiento!$B$11)</f>
        <v/>
      </c>
      <c r="C109" s="15">
        <f>IF(Seguimiento!$A$11="","",Seguimiento!$C$11&amp;"")</f>
        <v/>
      </c>
      <c r="D109" s="16" t="n">
        <v>46374</v>
      </c>
      <c r="E109" s="15">
        <f>IF(Seguimiento!$AL$11="","",IF(ISNUMBER(Seguimiento!$AL$11),IF(Seguimiento!$AL$11&lt;=1,Seguimiento!$AL$11*100,Seguimiento!$AL$11),IFERROR(IF(VALUE(SUBSTITUTE(SUBSTITUTE(Seguimiento!$AL$11,"%",""),",","."))&lt;=1,VALUE(SUBSTITUTE(SUBSTITUTE(Seguimiento!$AL$11,"%",""),",","."))*100,VALUE(SUBSTITUTE(SUBSTITUTE(Seguimiento!$AL$11,"%",""),",","."))),"")))</f>
        <v/>
      </c>
      <c r="F109" s="15">
        <f>IF(Seguimiento!$AL$11="","",Seguimiento!$AM$11&amp;"")</f>
        <v/>
      </c>
    </row>
    <row r="110">
      <c r="A110" s="15">
        <f>IF(Seguimiento!$A$12="","",Seguimiento!$A$12)</f>
        <v/>
      </c>
      <c r="B110" s="15">
        <f>IF(Seguimiento!$A$12="","",Seguimiento!$B$12)</f>
        <v/>
      </c>
      <c r="C110" s="15">
        <f>IF(Seguimiento!$A$12="","",Seguimiento!$C$12&amp;"")</f>
        <v/>
      </c>
      <c r="D110" s="16" t="n">
        <v>46297</v>
      </c>
      <c r="E110" s="15">
        <f>IF(Seguimiento!$Q$12="","",IF(ISNUMBER(Seguimiento!$Q$12),IF(Seguimiento!$Q$12&lt;=1,Seguimiento!$Q$12*100,Seguimiento!$Q$12),IFERROR(IF(VALUE(SUBSTITUTE(SUBSTITUTE(Seguimiento!$Q$12,"%",""),",","."))&lt;=1,VALUE(SUBSTITUTE(SUBSTITUTE(Seguimiento!$Q$12,"%",""),",","."))*100,VALUE(SUBSTITUTE(SUBSTITUTE(Seguimiento!$Q$12,"%",""),",","."))),"")))</f>
        <v/>
      </c>
      <c r="F110" s="15">
        <f>IF(Seguimiento!$Q$12="","","Avance inicial (matriz MINAM)")</f>
        <v/>
      </c>
    </row>
    <row r="111">
      <c r="A111" s="15">
        <f>IF(Seguimiento!$A$12="","",Seguimiento!$A$12)</f>
        <v/>
      </c>
      <c r="B111" s="15">
        <f>IF(Seguimiento!$A$12="","",Seguimiento!$B$12)</f>
        <v/>
      </c>
      <c r="C111" s="15">
        <f>IF(Seguimiento!$A$12="","",Seguimiento!$C$12&amp;"")</f>
        <v/>
      </c>
      <c r="D111" s="16" t="n">
        <v>46304</v>
      </c>
      <c r="E111" s="15">
        <f>IF(Seguimiento!$R$12="","",IF(ISNUMBER(Seguimiento!$R$12),IF(Seguimiento!$R$12&lt;=1,Seguimiento!$R$12*100,Seguimiento!$R$12),IFERROR(IF(VALUE(SUBSTITUTE(SUBSTITUTE(Seguimiento!$R$12,"%",""),",","."))&lt;=1,VALUE(SUBSTITUTE(SUBSTITUTE(Seguimiento!$R$12,"%",""),",","."))*100,VALUE(SUBSTITUTE(SUBSTITUTE(Seguimiento!$R$12,"%",""),",","."))),"")))</f>
        <v/>
      </c>
      <c r="F111" s="15">
        <f>IF(Seguimiento!$R$12="","",Seguimiento!$S$12&amp;"")</f>
        <v/>
      </c>
    </row>
    <row r="112">
      <c r="A112" s="15">
        <f>IF(Seguimiento!$A$12="","",Seguimiento!$A$12)</f>
        <v/>
      </c>
      <c r="B112" s="15">
        <f>IF(Seguimiento!$A$12="","",Seguimiento!$B$12)</f>
        <v/>
      </c>
      <c r="C112" s="15">
        <f>IF(Seguimiento!$A$12="","",Seguimiento!$C$12&amp;"")</f>
        <v/>
      </c>
      <c r="D112" s="16" t="n">
        <v>46311</v>
      </c>
      <c r="E112" s="15">
        <f>IF(Seguimiento!$T$12="","",IF(ISNUMBER(Seguimiento!$T$12),IF(Seguimiento!$T$12&lt;=1,Seguimiento!$T$12*100,Seguimiento!$T$12),IFERROR(IF(VALUE(SUBSTITUTE(SUBSTITUTE(Seguimiento!$T$12,"%",""),",","."))&lt;=1,VALUE(SUBSTITUTE(SUBSTITUTE(Seguimiento!$T$12,"%",""),",","."))*100,VALUE(SUBSTITUTE(SUBSTITUTE(Seguimiento!$T$12,"%",""),",","."))),"")))</f>
        <v/>
      </c>
      <c r="F112" s="15">
        <f>IF(Seguimiento!$T$12="","",Seguimiento!$U$12&amp;"")</f>
        <v/>
      </c>
    </row>
    <row r="113">
      <c r="A113" s="15">
        <f>IF(Seguimiento!$A$12="","",Seguimiento!$A$12)</f>
        <v/>
      </c>
      <c r="B113" s="15">
        <f>IF(Seguimiento!$A$12="","",Seguimiento!$B$12)</f>
        <v/>
      </c>
      <c r="C113" s="15">
        <f>IF(Seguimiento!$A$12="","",Seguimiento!$C$12&amp;"")</f>
        <v/>
      </c>
      <c r="D113" s="16" t="n">
        <v>46318</v>
      </c>
      <c r="E113" s="15">
        <f>IF(Seguimiento!$V$12="","",IF(ISNUMBER(Seguimiento!$V$12),IF(Seguimiento!$V$12&lt;=1,Seguimiento!$V$12*100,Seguimiento!$V$12),IFERROR(IF(VALUE(SUBSTITUTE(SUBSTITUTE(Seguimiento!$V$12,"%",""),",","."))&lt;=1,VALUE(SUBSTITUTE(SUBSTITUTE(Seguimiento!$V$12,"%",""),",","."))*100,VALUE(SUBSTITUTE(SUBSTITUTE(Seguimiento!$V$12,"%",""),",","."))),"")))</f>
        <v/>
      </c>
      <c r="F113" s="15">
        <f>IF(Seguimiento!$V$12="","",Seguimiento!$W$12&amp;"")</f>
        <v/>
      </c>
    </row>
    <row r="114">
      <c r="A114" s="15">
        <f>IF(Seguimiento!$A$12="","",Seguimiento!$A$12)</f>
        <v/>
      </c>
      <c r="B114" s="15">
        <f>IF(Seguimiento!$A$12="","",Seguimiento!$B$12)</f>
        <v/>
      </c>
      <c r="C114" s="15">
        <f>IF(Seguimiento!$A$12="","",Seguimiento!$C$12&amp;"")</f>
        <v/>
      </c>
      <c r="D114" s="16" t="n">
        <v>46325</v>
      </c>
      <c r="E114" s="15">
        <f>IF(Seguimiento!$X$12="","",IF(ISNUMBER(Seguimiento!$X$12),IF(Seguimiento!$X$12&lt;=1,Seguimiento!$X$12*100,Seguimiento!$X$12),IFERROR(IF(VALUE(SUBSTITUTE(SUBSTITUTE(Seguimiento!$X$12,"%",""),",","."))&lt;=1,VALUE(SUBSTITUTE(SUBSTITUTE(Seguimiento!$X$12,"%",""),",","."))*100,VALUE(SUBSTITUTE(SUBSTITUTE(Seguimiento!$X$12,"%",""),",","."))),"")))</f>
        <v/>
      </c>
      <c r="F114" s="15">
        <f>IF(Seguimiento!$X$12="","",Seguimiento!$Y$12&amp;"")</f>
        <v/>
      </c>
    </row>
    <row r="115">
      <c r="A115" s="15">
        <f>IF(Seguimiento!$A$12="","",Seguimiento!$A$12)</f>
        <v/>
      </c>
      <c r="B115" s="15">
        <f>IF(Seguimiento!$A$12="","",Seguimiento!$B$12)</f>
        <v/>
      </c>
      <c r="C115" s="15">
        <f>IF(Seguimiento!$A$12="","",Seguimiento!$C$12&amp;"")</f>
        <v/>
      </c>
      <c r="D115" s="16" t="n">
        <v>46332</v>
      </c>
      <c r="E115" s="15">
        <f>IF(Seguimiento!$Z$12="","",IF(ISNUMBER(Seguimiento!$Z$12),IF(Seguimiento!$Z$12&lt;=1,Seguimiento!$Z$12*100,Seguimiento!$Z$12),IFERROR(IF(VALUE(SUBSTITUTE(SUBSTITUTE(Seguimiento!$Z$12,"%",""),",","."))&lt;=1,VALUE(SUBSTITUTE(SUBSTITUTE(Seguimiento!$Z$12,"%",""),",","."))*100,VALUE(SUBSTITUTE(SUBSTITUTE(Seguimiento!$Z$12,"%",""),",","."))),"")))</f>
        <v/>
      </c>
      <c r="F115" s="15">
        <f>IF(Seguimiento!$Z$12="","",Seguimiento!$AA$12&amp;"")</f>
        <v/>
      </c>
    </row>
    <row r="116">
      <c r="A116" s="15">
        <f>IF(Seguimiento!$A$12="","",Seguimiento!$A$12)</f>
        <v/>
      </c>
      <c r="B116" s="15">
        <f>IF(Seguimiento!$A$12="","",Seguimiento!$B$12)</f>
        <v/>
      </c>
      <c r="C116" s="15">
        <f>IF(Seguimiento!$A$12="","",Seguimiento!$C$12&amp;"")</f>
        <v/>
      </c>
      <c r="D116" s="16" t="n">
        <v>46339</v>
      </c>
      <c r="E116" s="15">
        <f>IF(Seguimiento!$AB$12="","",IF(ISNUMBER(Seguimiento!$AB$12),IF(Seguimiento!$AB$12&lt;=1,Seguimiento!$AB$12*100,Seguimiento!$AB$12),IFERROR(IF(VALUE(SUBSTITUTE(SUBSTITUTE(Seguimiento!$AB$12,"%",""),",","."))&lt;=1,VALUE(SUBSTITUTE(SUBSTITUTE(Seguimiento!$AB$12,"%",""),",","."))*100,VALUE(SUBSTITUTE(SUBSTITUTE(Seguimiento!$AB$12,"%",""),",","."))),"")))</f>
        <v/>
      </c>
      <c r="F116" s="15">
        <f>IF(Seguimiento!$AB$12="","",Seguimiento!$AC$12&amp;"")</f>
        <v/>
      </c>
    </row>
    <row r="117">
      <c r="A117" s="15">
        <f>IF(Seguimiento!$A$12="","",Seguimiento!$A$12)</f>
        <v/>
      </c>
      <c r="B117" s="15">
        <f>IF(Seguimiento!$A$12="","",Seguimiento!$B$12)</f>
        <v/>
      </c>
      <c r="C117" s="15">
        <f>IF(Seguimiento!$A$12="","",Seguimiento!$C$12&amp;"")</f>
        <v/>
      </c>
      <c r="D117" s="16" t="n">
        <v>46346</v>
      </c>
      <c r="E117" s="15">
        <f>IF(Seguimiento!$AD$12="","",IF(ISNUMBER(Seguimiento!$AD$12),IF(Seguimiento!$AD$12&lt;=1,Seguimiento!$AD$12*100,Seguimiento!$AD$12),IFERROR(IF(VALUE(SUBSTITUTE(SUBSTITUTE(Seguimiento!$AD$12,"%",""),",","."))&lt;=1,VALUE(SUBSTITUTE(SUBSTITUTE(Seguimiento!$AD$12,"%",""),",","."))*100,VALUE(SUBSTITUTE(SUBSTITUTE(Seguimiento!$AD$12,"%",""),",","."))),"")))</f>
        <v/>
      </c>
      <c r="F117" s="15">
        <f>IF(Seguimiento!$AD$12="","",Seguimiento!$AE$12&amp;"")</f>
        <v/>
      </c>
    </row>
    <row r="118">
      <c r="A118" s="15">
        <f>IF(Seguimiento!$A$12="","",Seguimiento!$A$12)</f>
        <v/>
      </c>
      <c r="B118" s="15">
        <f>IF(Seguimiento!$A$12="","",Seguimiento!$B$12)</f>
        <v/>
      </c>
      <c r="C118" s="15">
        <f>IF(Seguimiento!$A$12="","",Seguimiento!$C$12&amp;"")</f>
        <v/>
      </c>
      <c r="D118" s="16" t="n">
        <v>46353</v>
      </c>
      <c r="E118" s="15">
        <f>IF(Seguimiento!$AF$12="","",IF(ISNUMBER(Seguimiento!$AF$12),IF(Seguimiento!$AF$12&lt;=1,Seguimiento!$AF$12*100,Seguimiento!$AF$12),IFERROR(IF(VALUE(SUBSTITUTE(SUBSTITUTE(Seguimiento!$AF$12,"%",""),",","."))&lt;=1,VALUE(SUBSTITUTE(SUBSTITUTE(Seguimiento!$AF$12,"%",""),",","."))*100,VALUE(SUBSTITUTE(SUBSTITUTE(Seguimiento!$AF$12,"%",""),",","."))),"")))</f>
        <v/>
      </c>
      <c r="F118" s="15">
        <f>IF(Seguimiento!$AF$12="","",Seguimiento!$AG$12&amp;"")</f>
        <v/>
      </c>
    </row>
    <row r="119">
      <c r="A119" s="15">
        <f>IF(Seguimiento!$A$12="","",Seguimiento!$A$12)</f>
        <v/>
      </c>
      <c r="B119" s="15">
        <f>IF(Seguimiento!$A$12="","",Seguimiento!$B$12)</f>
        <v/>
      </c>
      <c r="C119" s="15">
        <f>IF(Seguimiento!$A$12="","",Seguimiento!$C$12&amp;"")</f>
        <v/>
      </c>
      <c r="D119" s="16" t="n">
        <v>46360</v>
      </c>
      <c r="E119" s="15">
        <f>IF(Seguimiento!$AH$12="","",IF(ISNUMBER(Seguimiento!$AH$12),IF(Seguimiento!$AH$12&lt;=1,Seguimiento!$AH$12*100,Seguimiento!$AH$12),IFERROR(IF(VALUE(SUBSTITUTE(SUBSTITUTE(Seguimiento!$AH$12,"%",""),",","."))&lt;=1,VALUE(SUBSTITUTE(SUBSTITUTE(Seguimiento!$AH$12,"%",""),",","."))*100,VALUE(SUBSTITUTE(SUBSTITUTE(Seguimiento!$AH$12,"%",""),",","."))),"")))</f>
        <v/>
      </c>
      <c r="F119" s="15">
        <f>IF(Seguimiento!$AH$12="","",Seguimiento!$AI$12&amp;"")</f>
        <v/>
      </c>
    </row>
    <row r="120">
      <c r="A120" s="15">
        <f>IF(Seguimiento!$A$12="","",Seguimiento!$A$12)</f>
        <v/>
      </c>
      <c r="B120" s="15">
        <f>IF(Seguimiento!$A$12="","",Seguimiento!$B$12)</f>
        <v/>
      </c>
      <c r="C120" s="15">
        <f>IF(Seguimiento!$A$12="","",Seguimiento!$C$12&amp;"")</f>
        <v/>
      </c>
      <c r="D120" s="16" t="n">
        <v>46367</v>
      </c>
      <c r="E120" s="15">
        <f>IF(Seguimiento!$AJ$12="","",IF(ISNUMBER(Seguimiento!$AJ$12),IF(Seguimiento!$AJ$12&lt;=1,Seguimiento!$AJ$12*100,Seguimiento!$AJ$12),IFERROR(IF(VALUE(SUBSTITUTE(SUBSTITUTE(Seguimiento!$AJ$12,"%",""),",","."))&lt;=1,VALUE(SUBSTITUTE(SUBSTITUTE(Seguimiento!$AJ$12,"%",""),",","."))*100,VALUE(SUBSTITUTE(SUBSTITUTE(Seguimiento!$AJ$12,"%",""),",","."))),"")))</f>
        <v/>
      </c>
      <c r="F120" s="15">
        <f>IF(Seguimiento!$AJ$12="","",Seguimiento!$AK$12&amp;"")</f>
        <v/>
      </c>
    </row>
    <row r="121">
      <c r="A121" s="15">
        <f>IF(Seguimiento!$A$12="","",Seguimiento!$A$12)</f>
        <v/>
      </c>
      <c r="B121" s="15">
        <f>IF(Seguimiento!$A$12="","",Seguimiento!$B$12)</f>
        <v/>
      </c>
      <c r="C121" s="15">
        <f>IF(Seguimiento!$A$12="","",Seguimiento!$C$12&amp;"")</f>
        <v/>
      </c>
      <c r="D121" s="16" t="n">
        <v>46374</v>
      </c>
      <c r="E121" s="15">
        <f>IF(Seguimiento!$AL$12="","",IF(ISNUMBER(Seguimiento!$AL$12),IF(Seguimiento!$AL$12&lt;=1,Seguimiento!$AL$12*100,Seguimiento!$AL$12),IFERROR(IF(VALUE(SUBSTITUTE(SUBSTITUTE(Seguimiento!$AL$12,"%",""),",","."))&lt;=1,VALUE(SUBSTITUTE(SUBSTITUTE(Seguimiento!$AL$12,"%",""),",","."))*100,VALUE(SUBSTITUTE(SUBSTITUTE(Seguimiento!$AL$12,"%",""),",","."))),"")))</f>
        <v/>
      </c>
      <c r="F121" s="15">
        <f>IF(Seguimiento!$AL$12="","",Seguimiento!$AM$12&amp;"")</f>
        <v/>
      </c>
    </row>
    <row r="122">
      <c r="A122" s="15">
        <f>IF(Seguimiento!$A$13="","",Seguimiento!$A$13)</f>
        <v/>
      </c>
      <c r="B122" s="15">
        <f>IF(Seguimiento!$A$13="","",Seguimiento!$B$13)</f>
        <v/>
      </c>
      <c r="C122" s="15">
        <f>IF(Seguimiento!$A$13="","",Seguimiento!$C$13&amp;"")</f>
        <v/>
      </c>
      <c r="D122" s="16" t="n">
        <v>46297</v>
      </c>
      <c r="E122" s="15">
        <f>IF(Seguimiento!$Q$13="","",IF(ISNUMBER(Seguimiento!$Q$13),IF(Seguimiento!$Q$13&lt;=1,Seguimiento!$Q$13*100,Seguimiento!$Q$13),IFERROR(IF(VALUE(SUBSTITUTE(SUBSTITUTE(Seguimiento!$Q$13,"%",""),",","."))&lt;=1,VALUE(SUBSTITUTE(SUBSTITUTE(Seguimiento!$Q$13,"%",""),",","."))*100,VALUE(SUBSTITUTE(SUBSTITUTE(Seguimiento!$Q$13,"%",""),",","."))),"")))</f>
        <v/>
      </c>
      <c r="F122" s="15">
        <f>IF(Seguimiento!$Q$13="","","Avance inicial (matriz MINAM)")</f>
        <v/>
      </c>
    </row>
    <row r="123">
      <c r="A123" s="15">
        <f>IF(Seguimiento!$A$13="","",Seguimiento!$A$13)</f>
        <v/>
      </c>
      <c r="B123" s="15">
        <f>IF(Seguimiento!$A$13="","",Seguimiento!$B$13)</f>
        <v/>
      </c>
      <c r="C123" s="15">
        <f>IF(Seguimiento!$A$13="","",Seguimiento!$C$13&amp;"")</f>
        <v/>
      </c>
      <c r="D123" s="16" t="n">
        <v>46304</v>
      </c>
      <c r="E123" s="15">
        <f>IF(Seguimiento!$R$13="","",IF(ISNUMBER(Seguimiento!$R$13),IF(Seguimiento!$R$13&lt;=1,Seguimiento!$R$13*100,Seguimiento!$R$13),IFERROR(IF(VALUE(SUBSTITUTE(SUBSTITUTE(Seguimiento!$R$13,"%",""),",","."))&lt;=1,VALUE(SUBSTITUTE(SUBSTITUTE(Seguimiento!$R$13,"%",""),",","."))*100,VALUE(SUBSTITUTE(SUBSTITUTE(Seguimiento!$R$13,"%",""),",","."))),"")))</f>
        <v/>
      </c>
      <c r="F123" s="15">
        <f>IF(Seguimiento!$R$13="","",Seguimiento!$S$13&amp;"")</f>
        <v/>
      </c>
    </row>
    <row r="124">
      <c r="A124" s="15">
        <f>IF(Seguimiento!$A$13="","",Seguimiento!$A$13)</f>
        <v/>
      </c>
      <c r="B124" s="15">
        <f>IF(Seguimiento!$A$13="","",Seguimiento!$B$13)</f>
        <v/>
      </c>
      <c r="C124" s="15">
        <f>IF(Seguimiento!$A$13="","",Seguimiento!$C$13&amp;"")</f>
        <v/>
      </c>
      <c r="D124" s="16" t="n">
        <v>46311</v>
      </c>
      <c r="E124" s="15">
        <f>IF(Seguimiento!$T$13="","",IF(ISNUMBER(Seguimiento!$T$13),IF(Seguimiento!$T$13&lt;=1,Seguimiento!$T$13*100,Seguimiento!$T$13),IFERROR(IF(VALUE(SUBSTITUTE(SUBSTITUTE(Seguimiento!$T$13,"%",""),",","."))&lt;=1,VALUE(SUBSTITUTE(SUBSTITUTE(Seguimiento!$T$13,"%",""),",","."))*100,VALUE(SUBSTITUTE(SUBSTITUTE(Seguimiento!$T$13,"%",""),",","."))),"")))</f>
        <v/>
      </c>
      <c r="F124" s="15">
        <f>IF(Seguimiento!$T$13="","",Seguimiento!$U$13&amp;"")</f>
        <v/>
      </c>
    </row>
    <row r="125">
      <c r="A125" s="15">
        <f>IF(Seguimiento!$A$13="","",Seguimiento!$A$13)</f>
        <v/>
      </c>
      <c r="B125" s="15">
        <f>IF(Seguimiento!$A$13="","",Seguimiento!$B$13)</f>
        <v/>
      </c>
      <c r="C125" s="15">
        <f>IF(Seguimiento!$A$13="","",Seguimiento!$C$13&amp;"")</f>
        <v/>
      </c>
      <c r="D125" s="16" t="n">
        <v>46318</v>
      </c>
      <c r="E125" s="15">
        <f>IF(Seguimiento!$V$13="","",IF(ISNUMBER(Seguimiento!$V$13),IF(Seguimiento!$V$13&lt;=1,Seguimiento!$V$13*100,Seguimiento!$V$13),IFERROR(IF(VALUE(SUBSTITUTE(SUBSTITUTE(Seguimiento!$V$13,"%",""),",","."))&lt;=1,VALUE(SUBSTITUTE(SUBSTITUTE(Seguimiento!$V$13,"%",""),",","."))*100,VALUE(SUBSTITUTE(SUBSTITUTE(Seguimiento!$V$13,"%",""),",","."))),"")))</f>
        <v/>
      </c>
      <c r="F125" s="15">
        <f>IF(Seguimiento!$V$13="","",Seguimiento!$W$13&amp;"")</f>
        <v/>
      </c>
    </row>
    <row r="126">
      <c r="A126" s="15">
        <f>IF(Seguimiento!$A$13="","",Seguimiento!$A$13)</f>
        <v/>
      </c>
      <c r="B126" s="15">
        <f>IF(Seguimiento!$A$13="","",Seguimiento!$B$13)</f>
        <v/>
      </c>
      <c r="C126" s="15">
        <f>IF(Seguimiento!$A$13="","",Seguimiento!$C$13&amp;"")</f>
        <v/>
      </c>
      <c r="D126" s="16" t="n">
        <v>46325</v>
      </c>
      <c r="E126" s="15">
        <f>IF(Seguimiento!$X$13="","",IF(ISNUMBER(Seguimiento!$X$13),IF(Seguimiento!$X$13&lt;=1,Seguimiento!$X$13*100,Seguimiento!$X$13),IFERROR(IF(VALUE(SUBSTITUTE(SUBSTITUTE(Seguimiento!$X$13,"%",""),",","."))&lt;=1,VALUE(SUBSTITUTE(SUBSTITUTE(Seguimiento!$X$13,"%",""),",","."))*100,VALUE(SUBSTITUTE(SUBSTITUTE(Seguimiento!$X$13,"%",""),",","."))),"")))</f>
        <v/>
      </c>
      <c r="F126" s="15">
        <f>IF(Seguimiento!$X$13="","",Seguimiento!$Y$13&amp;"")</f>
        <v/>
      </c>
    </row>
    <row r="127">
      <c r="A127" s="15">
        <f>IF(Seguimiento!$A$13="","",Seguimiento!$A$13)</f>
        <v/>
      </c>
      <c r="B127" s="15">
        <f>IF(Seguimiento!$A$13="","",Seguimiento!$B$13)</f>
        <v/>
      </c>
      <c r="C127" s="15">
        <f>IF(Seguimiento!$A$13="","",Seguimiento!$C$13&amp;"")</f>
        <v/>
      </c>
      <c r="D127" s="16" t="n">
        <v>46332</v>
      </c>
      <c r="E127" s="15">
        <f>IF(Seguimiento!$Z$13="","",IF(ISNUMBER(Seguimiento!$Z$13),IF(Seguimiento!$Z$13&lt;=1,Seguimiento!$Z$13*100,Seguimiento!$Z$13),IFERROR(IF(VALUE(SUBSTITUTE(SUBSTITUTE(Seguimiento!$Z$13,"%",""),",","."))&lt;=1,VALUE(SUBSTITUTE(SUBSTITUTE(Seguimiento!$Z$13,"%",""),",","."))*100,VALUE(SUBSTITUTE(SUBSTITUTE(Seguimiento!$Z$13,"%",""),",","."))),"")))</f>
        <v/>
      </c>
      <c r="F127" s="15">
        <f>IF(Seguimiento!$Z$13="","",Seguimiento!$AA$13&amp;"")</f>
        <v/>
      </c>
    </row>
    <row r="128">
      <c r="A128" s="15">
        <f>IF(Seguimiento!$A$13="","",Seguimiento!$A$13)</f>
        <v/>
      </c>
      <c r="B128" s="15">
        <f>IF(Seguimiento!$A$13="","",Seguimiento!$B$13)</f>
        <v/>
      </c>
      <c r="C128" s="15">
        <f>IF(Seguimiento!$A$13="","",Seguimiento!$C$13&amp;"")</f>
        <v/>
      </c>
      <c r="D128" s="16" t="n">
        <v>46339</v>
      </c>
      <c r="E128" s="15">
        <f>IF(Seguimiento!$AB$13="","",IF(ISNUMBER(Seguimiento!$AB$13),IF(Seguimiento!$AB$13&lt;=1,Seguimiento!$AB$13*100,Seguimiento!$AB$13),IFERROR(IF(VALUE(SUBSTITUTE(SUBSTITUTE(Seguimiento!$AB$13,"%",""),",","."))&lt;=1,VALUE(SUBSTITUTE(SUBSTITUTE(Seguimiento!$AB$13,"%",""),",","."))*100,VALUE(SUBSTITUTE(SUBSTITUTE(Seguimiento!$AB$13,"%",""),",","."))),"")))</f>
        <v/>
      </c>
      <c r="F128" s="15">
        <f>IF(Seguimiento!$AB$13="","",Seguimiento!$AC$13&amp;"")</f>
        <v/>
      </c>
    </row>
    <row r="129">
      <c r="A129" s="15">
        <f>IF(Seguimiento!$A$13="","",Seguimiento!$A$13)</f>
        <v/>
      </c>
      <c r="B129" s="15">
        <f>IF(Seguimiento!$A$13="","",Seguimiento!$B$13)</f>
        <v/>
      </c>
      <c r="C129" s="15">
        <f>IF(Seguimiento!$A$13="","",Seguimiento!$C$13&amp;"")</f>
        <v/>
      </c>
      <c r="D129" s="16" t="n">
        <v>46346</v>
      </c>
      <c r="E129" s="15">
        <f>IF(Seguimiento!$AD$13="","",IF(ISNUMBER(Seguimiento!$AD$13),IF(Seguimiento!$AD$13&lt;=1,Seguimiento!$AD$13*100,Seguimiento!$AD$13),IFERROR(IF(VALUE(SUBSTITUTE(SUBSTITUTE(Seguimiento!$AD$13,"%",""),",","."))&lt;=1,VALUE(SUBSTITUTE(SUBSTITUTE(Seguimiento!$AD$13,"%",""),",","."))*100,VALUE(SUBSTITUTE(SUBSTITUTE(Seguimiento!$AD$13,"%",""),",","."))),"")))</f>
        <v/>
      </c>
      <c r="F129" s="15">
        <f>IF(Seguimiento!$AD$13="","",Seguimiento!$AE$13&amp;"")</f>
        <v/>
      </c>
    </row>
    <row r="130">
      <c r="A130" s="15">
        <f>IF(Seguimiento!$A$13="","",Seguimiento!$A$13)</f>
        <v/>
      </c>
      <c r="B130" s="15">
        <f>IF(Seguimiento!$A$13="","",Seguimiento!$B$13)</f>
        <v/>
      </c>
      <c r="C130" s="15">
        <f>IF(Seguimiento!$A$13="","",Seguimiento!$C$13&amp;"")</f>
        <v/>
      </c>
      <c r="D130" s="16" t="n">
        <v>46353</v>
      </c>
      <c r="E130" s="15">
        <f>IF(Seguimiento!$AF$13="","",IF(ISNUMBER(Seguimiento!$AF$13),IF(Seguimiento!$AF$13&lt;=1,Seguimiento!$AF$13*100,Seguimiento!$AF$13),IFERROR(IF(VALUE(SUBSTITUTE(SUBSTITUTE(Seguimiento!$AF$13,"%",""),",","."))&lt;=1,VALUE(SUBSTITUTE(SUBSTITUTE(Seguimiento!$AF$13,"%",""),",","."))*100,VALUE(SUBSTITUTE(SUBSTITUTE(Seguimiento!$AF$13,"%",""),",","."))),"")))</f>
        <v/>
      </c>
      <c r="F130" s="15">
        <f>IF(Seguimiento!$AF$13="","",Seguimiento!$AG$13&amp;"")</f>
        <v/>
      </c>
    </row>
    <row r="131">
      <c r="A131" s="15">
        <f>IF(Seguimiento!$A$13="","",Seguimiento!$A$13)</f>
        <v/>
      </c>
      <c r="B131" s="15">
        <f>IF(Seguimiento!$A$13="","",Seguimiento!$B$13)</f>
        <v/>
      </c>
      <c r="C131" s="15">
        <f>IF(Seguimiento!$A$13="","",Seguimiento!$C$13&amp;"")</f>
        <v/>
      </c>
      <c r="D131" s="16" t="n">
        <v>46360</v>
      </c>
      <c r="E131" s="15">
        <f>IF(Seguimiento!$AH$13="","",IF(ISNUMBER(Seguimiento!$AH$13),IF(Seguimiento!$AH$13&lt;=1,Seguimiento!$AH$13*100,Seguimiento!$AH$13),IFERROR(IF(VALUE(SUBSTITUTE(SUBSTITUTE(Seguimiento!$AH$13,"%",""),",","."))&lt;=1,VALUE(SUBSTITUTE(SUBSTITUTE(Seguimiento!$AH$13,"%",""),",","."))*100,VALUE(SUBSTITUTE(SUBSTITUTE(Seguimiento!$AH$13,"%",""),",","."))),"")))</f>
        <v/>
      </c>
      <c r="F131" s="15">
        <f>IF(Seguimiento!$AH$13="","",Seguimiento!$AI$13&amp;"")</f>
        <v/>
      </c>
    </row>
    <row r="132">
      <c r="A132" s="15">
        <f>IF(Seguimiento!$A$13="","",Seguimiento!$A$13)</f>
        <v/>
      </c>
      <c r="B132" s="15">
        <f>IF(Seguimiento!$A$13="","",Seguimiento!$B$13)</f>
        <v/>
      </c>
      <c r="C132" s="15">
        <f>IF(Seguimiento!$A$13="","",Seguimiento!$C$13&amp;"")</f>
        <v/>
      </c>
      <c r="D132" s="16" t="n">
        <v>46367</v>
      </c>
      <c r="E132" s="15">
        <f>IF(Seguimiento!$AJ$13="","",IF(ISNUMBER(Seguimiento!$AJ$13),IF(Seguimiento!$AJ$13&lt;=1,Seguimiento!$AJ$13*100,Seguimiento!$AJ$13),IFERROR(IF(VALUE(SUBSTITUTE(SUBSTITUTE(Seguimiento!$AJ$13,"%",""),",","."))&lt;=1,VALUE(SUBSTITUTE(SUBSTITUTE(Seguimiento!$AJ$13,"%",""),",","."))*100,VALUE(SUBSTITUTE(SUBSTITUTE(Seguimiento!$AJ$13,"%",""),",","."))),"")))</f>
        <v/>
      </c>
      <c r="F132" s="15">
        <f>IF(Seguimiento!$AJ$13="","",Seguimiento!$AK$13&amp;"")</f>
        <v/>
      </c>
    </row>
    <row r="133">
      <c r="A133" s="15">
        <f>IF(Seguimiento!$A$13="","",Seguimiento!$A$13)</f>
        <v/>
      </c>
      <c r="B133" s="15">
        <f>IF(Seguimiento!$A$13="","",Seguimiento!$B$13)</f>
        <v/>
      </c>
      <c r="C133" s="15">
        <f>IF(Seguimiento!$A$13="","",Seguimiento!$C$13&amp;"")</f>
        <v/>
      </c>
      <c r="D133" s="16" t="n">
        <v>46374</v>
      </c>
      <c r="E133" s="15">
        <f>IF(Seguimiento!$AL$13="","",IF(ISNUMBER(Seguimiento!$AL$13),IF(Seguimiento!$AL$13&lt;=1,Seguimiento!$AL$13*100,Seguimiento!$AL$13),IFERROR(IF(VALUE(SUBSTITUTE(SUBSTITUTE(Seguimiento!$AL$13,"%",""),",","."))&lt;=1,VALUE(SUBSTITUTE(SUBSTITUTE(Seguimiento!$AL$13,"%",""),",","."))*100,VALUE(SUBSTITUTE(SUBSTITUTE(Seguimiento!$AL$13,"%",""),",","."))),"")))</f>
        <v/>
      </c>
      <c r="F133" s="15">
        <f>IF(Seguimiento!$AL$13="","",Seguimiento!$AM$13&amp;"")</f>
        <v/>
      </c>
    </row>
    <row r="134">
      <c r="A134" s="15">
        <f>IF(Seguimiento!$A$14="","",Seguimiento!$A$14)</f>
        <v/>
      </c>
      <c r="B134" s="15">
        <f>IF(Seguimiento!$A$14="","",Seguimiento!$B$14)</f>
        <v/>
      </c>
      <c r="C134" s="15">
        <f>IF(Seguimiento!$A$14="","",Seguimiento!$C$14&amp;"")</f>
        <v/>
      </c>
      <c r="D134" s="16" t="n">
        <v>46297</v>
      </c>
      <c r="E134" s="15">
        <f>IF(Seguimiento!$Q$14="","",IF(ISNUMBER(Seguimiento!$Q$14),IF(Seguimiento!$Q$14&lt;=1,Seguimiento!$Q$14*100,Seguimiento!$Q$14),IFERROR(IF(VALUE(SUBSTITUTE(SUBSTITUTE(Seguimiento!$Q$14,"%",""),",","."))&lt;=1,VALUE(SUBSTITUTE(SUBSTITUTE(Seguimiento!$Q$14,"%",""),",","."))*100,VALUE(SUBSTITUTE(SUBSTITUTE(Seguimiento!$Q$14,"%",""),",","."))),"")))</f>
        <v/>
      </c>
      <c r="F134" s="15">
        <f>IF(Seguimiento!$Q$14="","","Avance inicial (matriz MINAM)")</f>
        <v/>
      </c>
    </row>
    <row r="135">
      <c r="A135" s="15">
        <f>IF(Seguimiento!$A$14="","",Seguimiento!$A$14)</f>
        <v/>
      </c>
      <c r="B135" s="15">
        <f>IF(Seguimiento!$A$14="","",Seguimiento!$B$14)</f>
        <v/>
      </c>
      <c r="C135" s="15">
        <f>IF(Seguimiento!$A$14="","",Seguimiento!$C$14&amp;"")</f>
        <v/>
      </c>
      <c r="D135" s="16" t="n">
        <v>46304</v>
      </c>
      <c r="E135" s="15">
        <f>IF(Seguimiento!$R$14="","",IF(ISNUMBER(Seguimiento!$R$14),IF(Seguimiento!$R$14&lt;=1,Seguimiento!$R$14*100,Seguimiento!$R$14),IFERROR(IF(VALUE(SUBSTITUTE(SUBSTITUTE(Seguimiento!$R$14,"%",""),",","."))&lt;=1,VALUE(SUBSTITUTE(SUBSTITUTE(Seguimiento!$R$14,"%",""),",","."))*100,VALUE(SUBSTITUTE(SUBSTITUTE(Seguimiento!$R$14,"%",""),",","."))),"")))</f>
        <v/>
      </c>
      <c r="F135" s="15">
        <f>IF(Seguimiento!$R$14="","",Seguimiento!$S$14&amp;"")</f>
        <v/>
      </c>
    </row>
    <row r="136">
      <c r="A136" s="15">
        <f>IF(Seguimiento!$A$14="","",Seguimiento!$A$14)</f>
        <v/>
      </c>
      <c r="B136" s="15">
        <f>IF(Seguimiento!$A$14="","",Seguimiento!$B$14)</f>
        <v/>
      </c>
      <c r="C136" s="15">
        <f>IF(Seguimiento!$A$14="","",Seguimiento!$C$14&amp;"")</f>
        <v/>
      </c>
      <c r="D136" s="16" t="n">
        <v>46311</v>
      </c>
      <c r="E136" s="15">
        <f>IF(Seguimiento!$T$14="","",IF(ISNUMBER(Seguimiento!$T$14),IF(Seguimiento!$T$14&lt;=1,Seguimiento!$T$14*100,Seguimiento!$T$14),IFERROR(IF(VALUE(SUBSTITUTE(SUBSTITUTE(Seguimiento!$T$14,"%",""),",","."))&lt;=1,VALUE(SUBSTITUTE(SUBSTITUTE(Seguimiento!$T$14,"%",""),",","."))*100,VALUE(SUBSTITUTE(SUBSTITUTE(Seguimiento!$T$14,"%",""),",","."))),"")))</f>
        <v/>
      </c>
      <c r="F136" s="15">
        <f>IF(Seguimiento!$T$14="","",Seguimiento!$U$14&amp;"")</f>
        <v/>
      </c>
    </row>
    <row r="137">
      <c r="A137" s="15">
        <f>IF(Seguimiento!$A$14="","",Seguimiento!$A$14)</f>
        <v/>
      </c>
      <c r="B137" s="15">
        <f>IF(Seguimiento!$A$14="","",Seguimiento!$B$14)</f>
        <v/>
      </c>
      <c r="C137" s="15">
        <f>IF(Seguimiento!$A$14="","",Seguimiento!$C$14&amp;"")</f>
        <v/>
      </c>
      <c r="D137" s="16" t="n">
        <v>46318</v>
      </c>
      <c r="E137" s="15">
        <f>IF(Seguimiento!$V$14="","",IF(ISNUMBER(Seguimiento!$V$14),IF(Seguimiento!$V$14&lt;=1,Seguimiento!$V$14*100,Seguimiento!$V$14),IFERROR(IF(VALUE(SUBSTITUTE(SUBSTITUTE(Seguimiento!$V$14,"%",""),",","."))&lt;=1,VALUE(SUBSTITUTE(SUBSTITUTE(Seguimiento!$V$14,"%",""),",","."))*100,VALUE(SUBSTITUTE(SUBSTITUTE(Seguimiento!$V$14,"%",""),",","."))),"")))</f>
        <v/>
      </c>
      <c r="F137" s="15">
        <f>IF(Seguimiento!$V$14="","",Seguimiento!$W$14&amp;"")</f>
        <v/>
      </c>
    </row>
    <row r="138">
      <c r="A138" s="15">
        <f>IF(Seguimiento!$A$14="","",Seguimiento!$A$14)</f>
        <v/>
      </c>
      <c r="B138" s="15">
        <f>IF(Seguimiento!$A$14="","",Seguimiento!$B$14)</f>
        <v/>
      </c>
      <c r="C138" s="15">
        <f>IF(Seguimiento!$A$14="","",Seguimiento!$C$14&amp;"")</f>
        <v/>
      </c>
      <c r="D138" s="16" t="n">
        <v>46325</v>
      </c>
      <c r="E138" s="15">
        <f>IF(Seguimiento!$X$14="","",IF(ISNUMBER(Seguimiento!$X$14),IF(Seguimiento!$X$14&lt;=1,Seguimiento!$X$14*100,Seguimiento!$X$14),IFERROR(IF(VALUE(SUBSTITUTE(SUBSTITUTE(Seguimiento!$X$14,"%",""),",","."))&lt;=1,VALUE(SUBSTITUTE(SUBSTITUTE(Seguimiento!$X$14,"%",""),",","."))*100,VALUE(SUBSTITUTE(SUBSTITUTE(Seguimiento!$X$14,"%",""),",","."))),"")))</f>
        <v/>
      </c>
      <c r="F138" s="15">
        <f>IF(Seguimiento!$X$14="","",Seguimiento!$Y$14&amp;"")</f>
        <v/>
      </c>
    </row>
    <row r="139">
      <c r="A139" s="15">
        <f>IF(Seguimiento!$A$14="","",Seguimiento!$A$14)</f>
        <v/>
      </c>
      <c r="B139" s="15">
        <f>IF(Seguimiento!$A$14="","",Seguimiento!$B$14)</f>
        <v/>
      </c>
      <c r="C139" s="15">
        <f>IF(Seguimiento!$A$14="","",Seguimiento!$C$14&amp;"")</f>
        <v/>
      </c>
      <c r="D139" s="16" t="n">
        <v>46332</v>
      </c>
      <c r="E139" s="15">
        <f>IF(Seguimiento!$Z$14="","",IF(ISNUMBER(Seguimiento!$Z$14),IF(Seguimiento!$Z$14&lt;=1,Seguimiento!$Z$14*100,Seguimiento!$Z$14),IFERROR(IF(VALUE(SUBSTITUTE(SUBSTITUTE(Seguimiento!$Z$14,"%",""),",","."))&lt;=1,VALUE(SUBSTITUTE(SUBSTITUTE(Seguimiento!$Z$14,"%",""),",","."))*100,VALUE(SUBSTITUTE(SUBSTITUTE(Seguimiento!$Z$14,"%",""),",","."))),"")))</f>
        <v/>
      </c>
      <c r="F139" s="15">
        <f>IF(Seguimiento!$Z$14="","",Seguimiento!$AA$14&amp;"")</f>
        <v/>
      </c>
    </row>
    <row r="140">
      <c r="A140" s="15">
        <f>IF(Seguimiento!$A$14="","",Seguimiento!$A$14)</f>
        <v/>
      </c>
      <c r="B140" s="15">
        <f>IF(Seguimiento!$A$14="","",Seguimiento!$B$14)</f>
        <v/>
      </c>
      <c r="C140" s="15">
        <f>IF(Seguimiento!$A$14="","",Seguimiento!$C$14&amp;"")</f>
        <v/>
      </c>
      <c r="D140" s="16" t="n">
        <v>46339</v>
      </c>
      <c r="E140" s="15">
        <f>IF(Seguimiento!$AB$14="","",IF(ISNUMBER(Seguimiento!$AB$14),IF(Seguimiento!$AB$14&lt;=1,Seguimiento!$AB$14*100,Seguimiento!$AB$14),IFERROR(IF(VALUE(SUBSTITUTE(SUBSTITUTE(Seguimiento!$AB$14,"%",""),",","."))&lt;=1,VALUE(SUBSTITUTE(SUBSTITUTE(Seguimiento!$AB$14,"%",""),",","."))*100,VALUE(SUBSTITUTE(SUBSTITUTE(Seguimiento!$AB$14,"%",""),",","."))),"")))</f>
        <v/>
      </c>
      <c r="F140" s="15">
        <f>IF(Seguimiento!$AB$14="","",Seguimiento!$AC$14&amp;"")</f>
        <v/>
      </c>
    </row>
    <row r="141">
      <c r="A141" s="15">
        <f>IF(Seguimiento!$A$14="","",Seguimiento!$A$14)</f>
        <v/>
      </c>
      <c r="B141" s="15">
        <f>IF(Seguimiento!$A$14="","",Seguimiento!$B$14)</f>
        <v/>
      </c>
      <c r="C141" s="15">
        <f>IF(Seguimiento!$A$14="","",Seguimiento!$C$14&amp;"")</f>
        <v/>
      </c>
      <c r="D141" s="16" t="n">
        <v>46346</v>
      </c>
      <c r="E141" s="15">
        <f>IF(Seguimiento!$AD$14="","",IF(ISNUMBER(Seguimiento!$AD$14),IF(Seguimiento!$AD$14&lt;=1,Seguimiento!$AD$14*100,Seguimiento!$AD$14),IFERROR(IF(VALUE(SUBSTITUTE(SUBSTITUTE(Seguimiento!$AD$14,"%",""),",","."))&lt;=1,VALUE(SUBSTITUTE(SUBSTITUTE(Seguimiento!$AD$14,"%",""),",","."))*100,VALUE(SUBSTITUTE(SUBSTITUTE(Seguimiento!$AD$14,"%",""),",","."))),"")))</f>
        <v/>
      </c>
      <c r="F141" s="15">
        <f>IF(Seguimiento!$AD$14="","",Seguimiento!$AE$14&amp;"")</f>
        <v/>
      </c>
    </row>
    <row r="142">
      <c r="A142" s="15">
        <f>IF(Seguimiento!$A$14="","",Seguimiento!$A$14)</f>
        <v/>
      </c>
      <c r="B142" s="15">
        <f>IF(Seguimiento!$A$14="","",Seguimiento!$B$14)</f>
        <v/>
      </c>
      <c r="C142" s="15">
        <f>IF(Seguimiento!$A$14="","",Seguimiento!$C$14&amp;"")</f>
        <v/>
      </c>
      <c r="D142" s="16" t="n">
        <v>46353</v>
      </c>
      <c r="E142" s="15">
        <f>IF(Seguimiento!$AF$14="","",IF(ISNUMBER(Seguimiento!$AF$14),IF(Seguimiento!$AF$14&lt;=1,Seguimiento!$AF$14*100,Seguimiento!$AF$14),IFERROR(IF(VALUE(SUBSTITUTE(SUBSTITUTE(Seguimiento!$AF$14,"%",""),",","."))&lt;=1,VALUE(SUBSTITUTE(SUBSTITUTE(Seguimiento!$AF$14,"%",""),",","."))*100,VALUE(SUBSTITUTE(SUBSTITUTE(Seguimiento!$AF$14,"%",""),",","."))),"")))</f>
        <v/>
      </c>
      <c r="F142" s="15">
        <f>IF(Seguimiento!$AF$14="","",Seguimiento!$AG$14&amp;"")</f>
        <v/>
      </c>
    </row>
    <row r="143">
      <c r="A143" s="15">
        <f>IF(Seguimiento!$A$14="","",Seguimiento!$A$14)</f>
        <v/>
      </c>
      <c r="B143" s="15">
        <f>IF(Seguimiento!$A$14="","",Seguimiento!$B$14)</f>
        <v/>
      </c>
      <c r="C143" s="15">
        <f>IF(Seguimiento!$A$14="","",Seguimiento!$C$14&amp;"")</f>
        <v/>
      </c>
      <c r="D143" s="16" t="n">
        <v>46360</v>
      </c>
      <c r="E143" s="15">
        <f>IF(Seguimiento!$AH$14="","",IF(ISNUMBER(Seguimiento!$AH$14),IF(Seguimiento!$AH$14&lt;=1,Seguimiento!$AH$14*100,Seguimiento!$AH$14),IFERROR(IF(VALUE(SUBSTITUTE(SUBSTITUTE(Seguimiento!$AH$14,"%",""),",","."))&lt;=1,VALUE(SUBSTITUTE(SUBSTITUTE(Seguimiento!$AH$14,"%",""),",","."))*100,VALUE(SUBSTITUTE(SUBSTITUTE(Seguimiento!$AH$14,"%",""),",","."))),"")))</f>
        <v/>
      </c>
      <c r="F143" s="15">
        <f>IF(Seguimiento!$AH$14="","",Seguimiento!$AI$14&amp;"")</f>
        <v/>
      </c>
    </row>
    <row r="144">
      <c r="A144" s="15">
        <f>IF(Seguimiento!$A$14="","",Seguimiento!$A$14)</f>
        <v/>
      </c>
      <c r="B144" s="15">
        <f>IF(Seguimiento!$A$14="","",Seguimiento!$B$14)</f>
        <v/>
      </c>
      <c r="C144" s="15">
        <f>IF(Seguimiento!$A$14="","",Seguimiento!$C$14&amp;"")</f>
        <v/>
      </c>
      <c r="D144" s="16" t="n">
        <v>46367</v>
      </c>
      <c r="E144" s="15">
        <f>IF(Seguimiento!$AJ$14="","",IF(ISNUMBER(Seguimiento!$AJ$14),IF(Seguimiento!$AJ$14&lt;=1,Seguimiento!$AJ$14*100,Seguimiento!$AJ$14),IFERROR(IF(VALUE(SUBSTITUTE(SUBSTITUTE(Seguimiento!$AJ$14,"%",""),",","."))&lt;=1,VALUE(SUBSTITUTE(SUBSTITUTE(Seguimiento!$AJ$14,"%",""),",","."))*100,VALUE(SUBSTITUTE(SUBSTITUTE(Seguimiento!$AJ$14,"%",""),",","."))),"")))</f>
        <v/>
      </c>
      <c r="F144" s="15">
        <f>IF(Seguimiento!$AJ$14="","",Seguimiento!$AK$14&amp;"")</f>
        <v/>
      </c>
    </row>
    <row r="145">
      <c r="A145" s="15">
        <f>IF(Seguimiento!$A$14="","",Seguimiento!$A$14)</f>
        <v/>
      </c>
      <c r="B145" s="15">
        <f>IF(Seguimiento!$A$14="","",Seguimiento!$B$14)</f>
        <v/>
      </c>
      <c r="C145" s="15">
        <f>IF(Seguimiento!$A$14="","",Seguimiento!$C$14&amp;"")</f>
        <v/>
      </c>
      <c r="D145" s="16" t="n">
        <v>46374</v>
      </c>
      <c r="E145" s="15">
        <f>IF(Seguimiento!$AL$14="","",IF(ISNUMBER(Seguimiento!$AL$14),IF(Seguimiento!$AL$14&lt;=1,Seguimiento!$AL$14*100,Seguimiento!$AL$14),IFERROR(IF(VALUE(SUBSTITUTE(SUBSTITUTE(Seguimiento!$AL$14,"%",""),",","."))&lt;=1,VALUE(SUBSTITUTE(SUBSTITUTE(Seguimiento!$AL$14,"%",""),",","."))*100,VALUE(SUBSTITUTE(SUBSTITUTE(Seguimiento!$AL$14,"%",""),",","."))),"")))</f>
        <v/>
      </c>
      <c r="F145" s="15">
        <f>IF(Seguimiento!$AL$14="","",Seguimiento!$AM$14&amp;"")</f>
        <v/>
      </c>
    </row>
    <row r="146">
      <c r="A146" s="15">
        <f>IF(Seguimiento!$A$15="","",Seguimiento!$A$15)</f>
        <v/>
      </c>
      <c r="B146" s="15">
        <f>IF(Seguimiento!$A$15="","",Seguimiento!$B$15)</f>
        <v/>
      </c>
      <c r="C146" s="15">
        <f>IF(Seguimiento!$A$15="","",Seguimiento!$C$15&amp;"")</f>
        <v/>
      </c>
      <c r="D146" s="16" t="n">
        <v>46297</v>
      </c>
      <c r="E146" s="15">
        <f>IF(Seguimiento!$Q$15="","",IF(ISNUMBER(Seguimiento!$Q$15),IF(Seguimiento!$Q$15&lt;=1,Seguimiento!$Q$15*100,Seguimiento!$Q$15),IFERROR(IF(VALUE(SUBSTITUTE(SUBSTITUTE(Seguimiento!$Q$15,"%",""),",","."))&lt;=1,VALUE(SUBSTITUTE(SUBSTITUTE(Seguimiento!$Q$15,"%",""),",","."))*100,VALUE(SUBSTITUTE(SUBSTITUTE(Seguimiento!$Q$15,"%",""),",","."))),"")))</f>
        <v/>
      </c>
      <c r="F146" s="15">
        <f>IF(Seguimiento!$Q$15="","","Avance inicial (matriz MINAM)")</f>
        <v/>
      </c>
    </row>
    <row r="147">
      <c r="A147" s="15">
        <f>IF(Seguimiento!$A$15="","",Seguimiento!$A$15)</f>
        <v/>
      </c>
      <c r="B147" s="15">
        <f>IF(Seguimiento!$A$15="","",Seguimiento!$B$15)</f>
        <v/>
      </c>
      <c r="C147" s="15">
        <f>IF(Seguimiento!$A$15="","",Seguimiento!$C$15&amp;"")</f>
        <v/>
      </c>
      <c r="D147" s="16" t="n">
        <v>46304</v>
      </c>
      <c r="E147" s="15">
        <f>IF(Seguimiento!$R$15="","",IF(ISNUMBER(Seguimiento!$R$15),IF(Seguimiento!$R$15&lt;=1,Seguimiento!$R$15*100,Seguimiento!$R$15),IFERROR(IF(VALUE(SUBSTITUTE(SUBSTITUTE(Seguimiento!$R$15,"%",""),",","."))&lt;=1,VALUE(SUBSTITUTE(SUBSTITUTE(Seguimiento!$R$15,"%",""),",","."))*100,VALUE(SUBSTITUTE(SUBSTITUTE(Seguimiento!$R$15,"%",""),",","."))),"")))</f>
        <v/>
      </c>
      <c r="F147" s="15">
        <f>IF(Seguimiento!$R$15="","",Seguimiento!$S$15&amp;"")</f>
        <v/>
      </c>
    </row>
    <row r="148">
      <c r="A148" s="15">
        <f>IF(Seguimiento!$A$15="","",Seguimiento!$A$15)</f>
        <v/>
      </c>
      <c r="B148" s="15">
        <f>IF(Seguimiento!$A$15="","",Seguimiento!$B$15)</f>
        <v/>
      </c>
      <c r="C148" s="15">
        <f>IF(Seguimiento!$A$15="","",Seguimiento!$C$15&amp;"")</f>
        <v/>
      </c>
      <c r="D148" s="16" t="n">
        <v>46311</v>
      </c>
      <c r="E148" s="15">
        <f>IF(Seguimiento!$T$15="","",IF(ISNUMBER(Seguimiento!$T$15),IF(Seguimiento!$T$15&lt;=1,Seguimiento!$T$15*100,Seguimiento!$T$15),IFERROR(IF(VALUE(SUBSTITUTE(SUBSTITUTE(Seguimiento!$T$15,"%",""),",","."))&lt;=1,VALUE(SUBSTITUTE(SUBSTITUTE(Seguimiento!$T$15,"%",""),",","."))*100,VALUE(SUBSTITUTE(SUBSTITUTE(Seguimiento!$T$15,"%",""),",","."))),"")))</f>
        <v/>
      </c>
      <c r="F148" s="15">
        <f>IF(Seguimiento!$T$15="","",Seguimiento!$U$15&amp;"")</f>
        <v/>
      </c>
    </row>
    <row r="149">
      <c r="A149" s="15">
        <f>IF(Seguimiento!$A$15="","",Seguimiento!$A$15)</f>
        <v/>
      </c>
      <c r="B149" s="15">
        <f>IF(Seguimiento!$A$15="","",Seguimiento!$B$15)</f>
        <v/>
      </c>
      <c r="C149" s="15">
        <f>IF(Seguimiento!$A$15="","",Seguimiento!$C$15&amp;"")</f>
        <v/>
      </c>
      <c r="D149" s="16" t="n">
        <v>46318</v>
      </c>
      <c r="E149" s="15">
        <f>IF(Seguimiento!$V$15="","",IF(ISNUMBER(Seguimiento!$V$15),IF(Seguimiento!$V$15&lt;=1,Seguimiento!$V$15*100,Seguimiento!$V$15),IFERROR(IF(VALUE(SUBSTITUTE(SUBSTITUTE(Seguimiento!$V$15,"%",""),",","."))&lt;=1,VALUE(SUBSTITUTE(SUBSTITUTE(Seguimiento!$V$15,"%",""),",","."))*100,VALUE(SUBSTITUTE(SUBSTITUTE(Seguimiento!$V$15,"%",""),",","."))),"")))</f>
        <v/>
      </c>
      <c r="F149" s="15">
        <f>IF(Seguimiento!$V$15="","",Seguimiento!$W$15&amp;"")</f>
        <v/>
      </c>
    </row>
    <row r="150">
      <c r="A150" s="15">
        <f>IF(Seguimiento!$A$15="","",Seguimiento!$A$15)</f>
        <v/>
      </c>
      <c r="B150" s="15">
        <f>IF(Seguimiento!$A$15="","",Seguimiento!$B$15)</f>
        <v/>
      </c>
      <c r="C150" s="15">
        <f>IF(Seguimiento!$A$15="","",Seguimiento!$C$15&amp;"")</f>
        <v/>
      </c>
      <c r="D150" s="16" t="n">
        <v>46325</v>
      </c>
      <c r="E150" s="15">
        <f>IF(Seguimiento!$X$15="","",IF(ISNUMBER(Seguimiento!$X$15),IF(Seguimiento!$X$15&lt;=1,Seguimiento!$X$15*100,Seguimiento!$X$15),IFERROR(IF(VALUE(SUBSTITUTE(SUBSTITUTE(Seguimiento!$X$15,"%",""),",","."))&lt;=1,VALUE(SUBSTITUTE(SUBSTITUTE(Seguimiento!$X$15,"%",""),",","."))*100,VALUE(SUBSTITUTE(SUBSTITUTE(Seguimiento!$X$15,"%",""),",","."))),"")))</f>
        <v/>
      </c>
      <c r="F150" s="15">
        <f>IF(Seguimiento!$X$15="","",Seguimiento!$Y$15&amp;"")</f>
        <v/>
      </c>
    </row>
    <row r="151">
      <c r="A151" s="15">
        <f>IF(Seguimiento!$A$15="","",Seguimiento!$A$15)</f>
        <v/>
      </c>
      <c r="B151" s="15">
        <f>IF(Seguimiento!$A$15="","",Seguimiento!$B$15)</f>
        <v/>
      </c>
      <c r="C151" s="15">
        <f>IF(Seguimiento!$A$15="","",Seguimiento!$C$15&amp;"")</f>
        <v/>
      </c>
      <c r="D151" s="16" t="n">
        <v>46332</v>
      </c>
      <c r="E151" s="15">
        <f>IF(Seguimiento!$Z$15="","",IF(ISNUMBER(Seguimiento!$Z$15),IF(Seguimiento!$Z$15&lt;=1,Seguimiento!$Z$15*100,Seguimiento!$Z$15),IFERROR(IF(VALUE(SUBSTITUTE(SUBSTITUTE(Seguimiento!$Z$15,"%",""),",","."))&lt;=1,VALUE(SUBSTITUTE(SUBSTITUTE(Seguimiento!$Z$15,"%",""),",","."))*100,VALUE(SUBSTITUTE(SUBSTITUTE(Seguimiento!$Z$15,"%",""),",","."))),"")))</f>
        <v/>
      </c>
      <c r="F151" s="15">
        <f>IF(Seguimiento!$Z$15="","",Seguimiento!$AA$15&amp;"")</f>
        <v/>
      </c>
    </row>
    <row r="152">
      <c r="A152" s="15">
        <f>IF(Seguimiento!$A$15="","",Seguimiento!$A$15)</f>
        <v/>
      </c>
      <c r="B152" s="15">
        <f>IF(Seguimiento!$A$15="","",Seguimiento!$B$15)</f>
        <v/>
      </c>
      <c r="C152" s="15">
        <f>IF(Seguimiento!$A$15="","",Seguimiento!$C$15&amp;"")</f>
        <v/>
      </c>
      <c r="D152" s="16" t="n">
        <v>46339</v>
      </c>
      <c r="E152" s="15">
        <f>IF(Seguimiento!$AB$15="","",IF(ISNUMBER(Seguimiento!$AB$15),IF(Seguimiento!$AB$15&lt;=1,Seguimiento!$AB$15*100,Seguimiento!$AB$15),IFERROR(IF(VALUE(SUBSTITUTE(SUBSTITUTE(Seguimiento!$AB$15,"%",""),",","."))&lt;=1,VALUE(SUBSTITUTE(SUBSTITUTE(Seguimiento!$AB$15,"%",""),",","."))*100,VALUE(SUBSTITUTE(SUBSTITUTE(Seguimiento!$AB$15,"%",""),",","."))),"")))</f>
        <v/>
      </c>
      <c r="F152" s="15">
        <f>IF(Seguimiento!$AB$15="","",Seguimiento!$AC$15&amp;"")</f>
        <v/>
      </c>
    </row>
    <row r="153">
      <c r="A153" s="15">
        <f>IF(Seguimiento!$A$15="","",Seguimiento!$A$15)</f>
        <v/>
      </c>
      <c r="B153" s="15">
        <f>IF(Seguimiento!$A$15="","",Seguimiento!$B$15)</f>
        <v/>
      </c>
      <c r="C153" s="15">
        <f>IF(Seguimiento!$A$15="","",Seguimiento!$C$15&amp;"")</f>
        <v/>
      </c>
      <c r="D153" s="16" t="n">
        <v>46346</v>
      </c>
      <c r="E153" s="15">
        <f>IF(Seguimiento!$AD$15="","",IF(ISNUMBER(Seguimiento!$AD$15),IF(Seguimiento!$AD$15&lt;=1,Seguimiento!$AD$15*100,Seguimiento!$AD$15),IFERROR(IF(VALUE(SUBSTITUTE(SUBSTITUTE(Seguimiento!$AD$15,"%",""),",","."))&lt;=1,VALUE(SUBSTITUTE(SUBSTITUTE(Seguimiento!$AD$15,"%",""),",","."))*100,VALUE(SUBSTITUTE(SUBSTITUTE(Seguimiento!$AD$15,"%",""),",","."))),"")))</f>
        <v/>
      </c>
      <c r="F153" s="15">
        <f>IF(Seguimiento!$AD$15="","",Seguimiento!$AE$15&amp;"")</f>
        <v/>
      </c>
    </row>
    <row r="154">
      <c r="A154" s="15">
        <f>IF(Seguimiento!$A$15="","",Seguimiento!$A$15)</f>
        <v/>
      </c>
      <c r="B154" s="15">
        <f>IF(Seguimiento!$A$15="","",Seguimiento!$B$15)</f>
        <v/>
      </c>
      <c r="C154" s="15">
        <f>IF(Seguimiento!$A$15="","",Seguimiento!$C$15&amp;"")</f>
        <v/>
      </c>
      <c r="D154" s="16" t="n">
        <v>46353</v>
      </c>
      <c r="E154" s="15">
        <f>IF(Seguimiento!$AF$15="","",IF(ISNUMBER(Seguimiento!$AF$15),IF(Seguimiento!$AF$15&lt;=1,Seguimiento!$AF$15*100,Seguimiento!$AF$15),IFERROR(IF(VALUE(SUBSTITUTE(SUBSTITUTE(Seguimiento!$AF$15,"%",""),",","."))&lt;=1,VALUE(SUBSTITUTE(SUBSTITUTE(Seguimiento!$AF$15,"%",""),",","."))*100,VALUE(SUBSTITUTE(SUBSTITUTE(Seguimiento!$AF$15,"%",""),",","."))),"")))</f>
        <v/>
      </c>
      <c r="F154" s="15">
        <f>IF(Seguimiento!$AF$15="","",Seguimiento!$AG$15&amp;"")</f>
        <v/>
      </c>
    </row>
    <row r="155">
      <c r="A155" s="15">
        <f>IF(Seguimiento!$A$15="","",Seguimiento!$A$15)</f>
        <v/>
      </c>
      <c r="B155" s="15">
        <f>IF(Seguimiento!$A$15="","",Seguimiento!$B$15)</f>
        <v/>
      </c>
      <c r="C155" s="15">
        <f>IF(Seguimiento!$A$15="","",Seguimiento!$C$15&amp;"")</f>
        <v/>
      </c>
      <c r="D155" s="16" t="n">
        <v>46360</v>
      </c>
      <c r="E155" s="15">
        <f>IF(Seguimiento!$AH$15="","",IF(ISNUMBER(Seguimiento!$AH$15),IF(Seguimiento!$AH$15&lt;=1,Seguimiento!$AH$15*100,Seguimiento!$AH$15),IFERROR(IF(VALUE(SUBSTITUTE(SUBSTITUTE(Seguimiento!$AH$15,"%",""),",","."))&lt;=1,VALUE(SUBSTITUTE(SUBSTITUTE(Seguimiento!$AH$15,"%",""),",","."))*100,VALUE(SUBSTITUTE(SUBSTITUTE(Seguimiento!$AH$15,"%",""),",","."))),"")))</f>
        <v/>
      </c>
      <c r="F155" s="15">
        <f>IF(Seguimiento!$AH$15="","",Seguimiento!$AI$15&amp;"")</f>
        <v/>
      </c>
    </row>
    <row r="156">
      <c r="A156" s="15">
        <f>IF(Seguimiento!$A$15="","",Seguimiento!$A$15)</f>
        <v/>
      </c>
      <c r="B156" s="15">
        <f>IF(Seguimiento!$A$15="","",Seguimiento!$B$15)</f>
        <v/>
      </c>
      <c r="C156" s="15">
        <f>IF(Seguimiento!$A$15="","",Seguimiento!$C$15&amp;"")</f>
        <v/>
      </c>
      <c r="D156" s="16" t="n">
        <v>46367</v>
      </c>
      <c r="E156" s="15">
        <f>IF(Seguimiento!$AJ$15="","",IF(ISNUMBER(Seguimiento!$AJ$15),IF(Seguimiento!$AJ$15&lt;=1,Seguimiento!$AJ$15*100,Seguimiento!$AJ$15),IFERROR(IF(VALUE(SUBSTITUTE(SUBSTITUTE(Seguimiento!$AJ$15,"%",""),",","."))&lt;=1,VALUE(SUBSTITUTE(SUBSTITUTE(Seguimiento!$AJ$15,"%",""),",","."))*100,VALUE(SUBSTITUTE(SUBSTITUTE(Seguimiento!$AJ$15,"%",""),",","."))),"")))</f>
        <v/>
      </c>
      <c r="F156" s="15">
        <f>IF(Seguimiento!$AJ$15="","",Seguimiento!$AK$15&amp;"")</f>
        <v/>
      </c>
    </row>
    <row r="157">
      <c r="A157" s="15">
        <f>IF(Seguimiento!$A$15="","",Seguimiento!$A$15)</f>
        <v/>
      </c>
      <c r="B157" s="15">
        <f>IF(Seguimiento!$A$15="","",Seguimiento!$B$15)</f>
        <v/>
      </c>
      <c r="C157" s="15">
        <f>IF(Seguimiento!$A$15="","",Seguimiento!$C$15&amp;"")</f>
        <v/>
      </c>
      <c r="D157" s="16" t="n">
        <v>46374</v>
      </c>
      <c r="E157" s="15">
        <f>IF(Seguimiento!$AL$15="","",IF(ISNUMBER(Seguimiento!$AL$15),IF(Seguimiento!$AL$15&lt;=1,Seguimiento!$AL$15*100,Seguimiento!$AL$15),IFERROR(IF(VALUE(SUBSTITUTE(SUBSTITUTE(Seguimiento!$AL$15,"%",""),",","."))&lt;=1,VALUE(SUBSTITUTE(SUBSTITUTE(Seguimiento!$AL$15,"%",""),",","."))*100,VALUE(SUBSTITUTE(SUBSTITUTE(Seguimiento!$AL$15,"%",""),",","."))),"")))</f>
        <v/>
      </c>
      <c r="F157" s="15">
        <f>IF(Seguimiento!$AL$15="","",Seguimiento!$AM$15&amp;"")</f>
        <v/>
      </c>
    </row>
    <row r="158">
      <c r="A158" s="15">
        <f>IF(Seguimiento!$A$16="","",Seguimiento!$A$16)</f>
        <v/>
      </c>
      <c r="B158" s="15">
        <f>IF(Seguimiento!$A$16="","",Seguimiento!$B$16)</f>
        <v/>
      </c>
      <c r="C158" s="15">
        <f>IF(Seguimiento!$A$16="","",Seguimiento!$C$16&amp;"")</f>
        <v/>
      </c>
      <c r="D158" s="16" t="n">
        <v>46297</v>
      </c>
      <c r="E158" s="15">
        <f>IF(Seguimiento!$Q$16="","",IF(ISNUMBER(Seguimiento!$Q$16),IF(Seguimiento!$Q$16&lt;=1,Seguimiento!$Q$16*100,Seguimiento!$Q$16),IFERROR(IF(VALUE(SUBSTITUTE(SUBSTITUTE(Seguimiento!$Q$16,"%",""),",","."))&lt;=1,VALUE(SUBSTITUTE(SUBSTITUTE(Seguimiento!$Q$16,"%",""),",","."))*100,VALUE(SUBSTITUTE(SUBSTITUTE(Seguimiento!$Q$16,"%",""),",","."))),"")))</f>
        <v/>
      </c>
      <c r="F158" s="15">
        <f>IF(Seguimiento!$Q$16="","","Avance inicial (matriz MINAM)")</f>
        <v/>
      </c>
    </row>
    <row r="159">
      <c r="A159" s="15">
        <f>IF(Seguimiento!$A$16="","",Seguimiento!$A$16)</f>
        <v/>
      </c>
      <c r="B159" s="15">
        <f>IF(Seguimiento!$A$16="","",Seguimiento!$B$16)</f>
        <v/>
      </c>
      <c r="C159" s="15">
        <f>IF(Seguimiento!$A$16="","",Seguimiento!$C$16&amp;"")</f>
        <v/>
      </c>
      <c r="D159" s="16" t="n">
        <v>46304</v>
      </c>
      <c r="E159" s="15">
        <f>IF(Seguimiento!$R$16="","",IF(ISNUMBER(Seguimiento!$R$16),IF(Seguimiento!$R$16&lt;=1,Seguimiento!$R$16*100,Seguimiento!$R$16),IFERROR(IF(VALUE(SUBSTITUTE(SUBSTITUTE(Seguimiento!$R$16,"%",""),",","."))&lt;=1,VALUE(SUBSTITUTE(SUBSTITUTE(Seguimiento!$R$16,"%",""),",","."))*100,VALUE(SUBSTITUTE(SUBSTITUTE(Seguimiento!$R$16,"%",""),",","."))),"")))</f>
        <v/>
      </c>
      <c r="F159" s="15">
        <f>IF(Seguimiento!$R$16="","",Seguimiento!$S$16&amp;"")</f>
        <v/>
      </c>
    </row>
    <row r="160">
      <c r="A160" s="15">
        <f>IF(Seguimiento!$A$16="","",Seguimiento!$A$16)</f>
        <v/>
      </c>
      <c r="B160" s="15">
        <f>IF(Seguimiento!$A$16="","",Seguimiento!$B$16)</f>
        <v/>
      </c>
      <c r="C160" s="15">
        <f>IF(Seguimiento!$A$16="","",Seguimiento!$C$16&amp;"")</f>
        <v/>
      </c>
      <c r="D160" s="16" t="n">
        <v>46311</v>
      </c>
      <c r="E160" s="15">
        <f>IF(Seguimiento!$T$16="","",IF(ISNUMBER(Seguimiento!$T$16),IF(Seguimiento!$T$16&lt;=1,Seguimiento!$T$16*100,Seguimiento!$T$16),IFERROR(IF(VALUE(SUBSTITUTE(SUBSTITUTE(Seguimiento!$T$16,"%",""),",","."))&lt;=1,VALUE(SUBSTITUTE(SUBSTITUTE(Seguimiento!$T$16,"%",""),",","."))*100,VALUE(SUBSTITUTE(SUBSTITUTE(Seguimiento!$T$16,"%",""),",","."))),"")))</f>
        <v/>
      </c>
      <c r="F160" s="15">
        <f>IF(Seguimiento!$T$16="","",Seguimiento!$U$16&amp;"")</f>
        <v/>
      </c>
    </row>
    <row r="161">
      <c r="A161" s="15">
        <f>IF(Seguimiento!$A$16="","",Seguimiento!$A$16)</f>
        <v/>
      </c>
      <c r="B161" s="15">
        <f>IF(Seguimiento!$A$16="","",Seguimiento!$B$16)</f>
        <v/>
      </c>
      <c r="C161" s="15">
        <f>IF(Seguimiento!$A$16="","",Seguimiento!$C$16&amp;"")</f>
        <v/>
      </c>
      <c r="D161" s="16" t="n">
        <v>46318</v>
      </c>
      <c r="E161" s="15">
        <f>IF(Seguimiento!$V$16="","",IF(ISNUMBER(Seguimiento!$V$16),IF(Seguimiento!$V$16&lt;=1,Seguimiento!$V$16*100,Seguimiento!$V$16),IFERROR(IF(VALUE(SUBSTITUTE(SUBSTITUTE(Seguimiento!$V$16,"%",""),",","."))&lt;=1,VALUE(SUBSTITUTE(SUBSTITUTE(Seguimiento!$V$16,"%",""),",","."))*100,VALUE(SUBSTITUTE(SUBSTITUTE(Seguimiento!$V$16,"%",""),",","."))),"")))</f>
        <v/>
      </c>
      <c r="F161" s="15">
        <f>IF(Seguimiento!$V$16="","",Seguimiento!$W$16&amp;"")</f>
        <v/>
      </c>
    </row>
    <row r="162">
      <c r="A162" s="15">
        <f>IF(Seguimiento!$A$16="","",Seguimiento!$A$16)</f>
        <v/>
      </c>
      <c r="B162" s="15">
        <f>IF(Seguimiento!$A$16="","",Seguimiento!$B$16)</f>
        <v/>
      </c>
      <c r="C162" s="15">
        <f>IF(Seguimiento!$A$16="","",Seguimiento!$C$16&amp;"")</f>
        <v/>
      </c>
      <c r="D162" s="16" t="n">
        <v>46325</v>
      </c>
      <c r="E162" s="15">
        <f>IF(Seguimiento!$X$16="","",IF(ISNUMBER(Seguimiento!$X$16),IF(Seguimiento!$X$16&lt;=1,Seguimiento!$X$16*100,Seguimiento!$X$16),IFERROR(IF(VALUE(SUBSTITUTE(SUBSTITUTE(Seguimiento!$X$16,"%",""),",","."))&lt;=1,VALUE(SUBSTITUTE(SUBSTITUTE(Seguimiento!$X$16,"%",""),",","."))*100,VALUE(SUBSTITUTE(SUBSTITUTE(Seguimiento!$X$16,"%",""),",","."))),"")))</f>
        <v/>
      </c>
      <c r="F162" s="15">
        <f>IF(Seguimiento!$X$16="","",Seguimiento!$Y$16&amp;"")</f>
        <v/>
      </c>
    </row>
    <row r="163">
      <c r="A163" s="15">
        <f>IF(Seguimiento!$A$16="","",Seguimiento!$A$16)</f>
        <v/>
      </c>
      <c r="B163" s="15">
        <f>IF(Seguimiento!$A$16="","",Seguimiento!$B$16)</f>
        <v/>
      </c>
      <c r="C163" s="15">
        <f>IF(Seguimiento!$A$16="","",Seguimiento!$C$16&amp;"")</f>
        <v/>
      </c>
      <c r="D163" s="16" t="n">
        <v>46332</v>
      </c>
      <c r="E163" s="15">
        <f>IF(Seguimiento!$Z$16="","",IF(ISNUMBER(Seguimiento!$Z$16),IF(Seguimiento!$Z$16&lt;=1,Seguimiento!$Z$16*100,Seguimiento!$Z$16),IFERROR(IF(VALUE(SUBSTITUTE(SUBSTITUTE(Seguimiento!$Z$16,"%",""),",","."))&lt;=1,VALUE(SUBSTITUTE(SUBSTITUTE(Seguimiento!$Z$16,"%",""),",","."))*100,VALUE(SUBSTITUTE(SUBSTITUTE(Seguimiento!$Z$16,"%",""),",","."))),"")))</f>
        <v/>
      </c>
      <c r="F163" s="15">
        <f>IF(Seguimiento!$Z$16="","",Seguimiento!$AA$16&amp;"")</f>
        <v/>
      </c>
    </row>
    <row r="164">
      <c r="A164" s="15">
        <f>IF(Seguimiento!$A$16="","",Seguimiento!$A$16)</f>
        <v/>
      </c>
      <c r="B164" s="15">
        <f>IF(Seguimiento!$A$16="","",Seguimiento!$B$16)</f>
        <v/>
      </c>
      <c r="C164" s="15">
        <f>IF(Seguimiento!$A$16="","",Seguimiento!$C$16&amp;"")</f>
        <v/>
      </c>
      <c r="D164" s="16" t="n">
        <v>46339</v>
      </c>
      <c r="E164" s="15">
        <f>IF(Seguimiento!$AB$16="","",IF(ISNUMBER(Seguimiento!$AB$16),IF(Seguimiento!$AB$16&lt;=1,Seguimiento!$AB$16*100,Seguimiento!$AB$16),IFERROR(IF(VALUE(SUBSTITUTE(SUBSTITUTE(Seguimiento!$AB$16,"%",""),",","."))&lt;=1,VALUE(SUBSTITUTE(SUBSTITUTE(Seguimiento!$AB$16,"%",""),",","."))*100,VALUE(SUBSTITUTE(SUBSTITUTE(Seguimiento!$AB$16,"%",""),",","."))),"")))</f>
        <v/>
      </c>
      <c r="F164" s="15">
        <f>IF(Seguimiento!$AB$16="","",Seguimiento!$AC$16&amp;"")</f>
        <v/>
      </c>
    </row>
    <row r="165">
      <c r="A165" s="15">
        <f>IF(Seguimiento!$A$16="","",Seguimiento!$A$16)</f>
        <v/>
      </c>
      <c r="B165" s="15">
        <f>IF(Seguimiento!$A$16="","",Seguimiento!$B$16)</f>
        <v/>
      </c>
      <c r="C165" s="15">
        <f>IF(Seguimiento!$A$16="","",Seguimiento!$C$16&amp;"")</f>
        <v/>
      </c>
      <c r="D165" s="16" t="n">
        <v>46346</v>
      </c>
      <c r="E165" s="15">
        <f>IF(Seguimiento!$AD$16="","",IF(ISNUMBER(Seguimiento!$AD$16),IF(Seguimiento!$AD$16&lt;=1,Seguimiento!$AD$16*100,Seguimiento!$AD$16),IFERROR(IF(VALUE(SUBSTITUTE(SUBSTITUTE(Seguimiento!$AD$16,"%",""),",","."))&lt;=1,VALUE(SUBSTITUTE(SUBSTITUTE(Seguimiento!$AD$16,"%",""),",","."))*100,VALUE(SUBSTITUTE(SUBSTITUTE(Seguimiento!$AD$16,"%",""),",","."))),"")))</f>
        <v/>
      </c>
      <c r="F165" s="15">
        <f>IF(Seguimiento!$AD$16="","",Seguimiento!$AE$16&amp;"")</f>
        <v/>
      </c>
    </row>
    <row r="166">
      <c r="A166" s="15">
        <f>IF(Seguimiento!$A$16="","",Seguimiento!$A$16)</f>
        <v/>
      </c>
      <c r="B166" s="15">
        <f>IF(Seguimiento!$A$16="","",Seguimiento!$B$16)</f>
        <v/>
      </c>
      <c r="C166" s="15">
        <f>IF(Seguimiento!$A$16="","",Seguimiento!$C$16&amp;"")</f>
        <v/>
      </c>
      <c r="D166" s="16" t="n">
        <v>46353</v>
      </c>
      <c r="E166" s="15">
        <f>IF(Seguimiento!$AF$16="","",IF(ISNUMBER(Seguimiento!$AF$16),IF(Seguimiento!$AF$16&lt;=1,Seguimiento!$AF$16*100,Seguimiento!$AF$16),IFERROR(IF(VALUE(SUBSTITUTE(SUBSTITUTE(Seguimiento!$AF$16,"%",""),",","."))&lt;=1,VALUE(SUBSTITUTE(SUBSTITUTE(Seguimiento!$AF$16,"%",""),",","."))*100,VALUE(SUBSTITUTE(SUBSTITUTE(Seguimiento!$AF$16,"%",""),",","."))),"")))</f>
        <v/>
      </c>
      <c r="F166" s="15">
        <f>IF(Seguimiento!$AF$16="","",Seguimiento!$AG$16&amp;"")</f>
        <v/>
      </c>
    </row>
    <row r="167">
      <c r="A167" s="15">
        <f>IF(Seguimiento!$A$16="","",Seguimiento!$A$16)</f>
        <v/>
      </c>
      <c r="B167" s="15">
        <f>IF(Seguimiento!$A$16="","",Seguimiento!$B$16)</f>
        <v/>
      </c>
      <c r="C167" s="15">
        <f>IF(Seguimiento!$A$16="","",Seguimiento!$C$16&amp;"")</f>
        <v/>
      </c>
      <c r="D167" s="16" t="n">
        <v>46360</v>
      </c>
      <c r="E167" s="15">
        <f>IF(Seguimiento!$AH$16="","",IF(ISNUMBER(Seguimiento!$AH$16),IF(Seguimiento!$AH$16&lt;=1,Seguimiento!$AH$16*100,Seguimiento!$AH$16),IFERROR(IF(VALUE(SUBSTITUTE(SUBSTITUTE(Seguimiento!$AH$16,"%",""),",","."))&lt;=1,VALUE(SUBSTITUTE(SUBSTITUTE(Seguimiento!$AH$16,"%",""),",","."))*100,VALUE(SUBSTITUTE(SUBSTITUTE(Seguimiento!$AH$16,"%",""),",","."))),"")))</f>
        <v/>
      </c>
      <c r="F167" s="15">
        <f>IF(Seguimiento!$AH$16="","",Seguimiento!$AI$16&amp;"")</f>
        <v/>
      </c>
    </row>
    <row r="168">
      <c r="A168" s="15">
        <f>IF(Seguimiento!$A$16="","",Seguimiento!$A$16)</f>
        <v/>
      </c>
      <c r="B168" s="15">
        <f>IF(Seguimiento!$A$16="","",Seguimiento!$B$16)</f>
        <v/>
      </c>
      <c r="C168" s="15">
        <f>IF(Seguimiento!$A$16="","",Seguimiento!$C$16&amp;"")</f>
        <v/>
      </c>
      <c r="D168" s="16" t="n">
        <v>46367</v>
      </c>
      <c r="E168" s="15">
        <f>IF(Seguimiento!$AJ$16="","",IF(ISNUMBER(Seguimiento!$AJ$16),IF(Seguimiento!$AJ$16&lt;=1,Seguimiento!$AJ$16*100,Seguimiento!$AJ$16),IFERROR(IF(VALUE(SUBSTITUTE(SUBSTITUTE(Seguimiento!$AJ$16,"%",""),",","."))&lt;=1,VALUE(SUBSTITUTE(SUBSTITUTE(Seguimiento!$AJ$16,"%",""),",","."))*100,VALUE(SUBSTITUTE(SUBSTITUTE(Seguimiento!$AJ$16,"%",""),",","."))),"")))</f>
        <v/>
      </c>
      <c r="F168" s="15">
        <f>IF(Seguimiento!$AJ$16="","",Seguimiento!$AK$16&amp;"")</f>
        <v/>
      </c>
    </row>
    <row r="169">
      <c r="A169" s="15">
        <f>IF(Seguimiento!$A$16="","",Seguimiento!$A$16)</f>
        <v/>
      </c>
      <c r="B169" s="15">
        <f>IF(Seguimiento!$A$16="","",Seguimiento!$B$16)</f>
        <v/>
      </c>
      <c r="C169" s="15">
        <f>IF(Seguimiento!$A$16="","",Seguimiento!$C$16&amp;"")</f>
        <v/>
      </c>
      <c r="D169" s="16" t="n">
        <v>46374</v>
      </c>
      <c r="E169" s="15">
        <f>IF(Seguimiento!$AL$16="","",IF(ISNUMBER(Seguimiento!$AL$16),IF(Seguimiento!$AL$16&lt;=1,Seguimiento!$AL$16*100,Seguimiento!$AL$16),IFERROR(IF(VALUE(SUBSTITUTE(SUBSTITUTE(Seguimiento!$AL$16,"%",""),",","."))&lt;=1,VALUE(SUBSTITUTE(SUBSTITUTE(Seguimiento!$AL$16,"%",""),",","."))*100,VALUE(SUBSTITUTE(SUBSTITUTE(Seguimiento!$AL$16,"%",""),",","."))),"")))</f>
        <v/>
      </c>
      <c r="F169" s="15">
        <f>IF(Seguimiento!$AL$16="","",Seguimiento!$AM$16&amp;"")</f>
        <v/>
      </c>
    </row>
    <row r="170">
      <c r="A170" s="15">
        <f>IF(Seguimiento!$A$17="","",Seguimiento!$A$17)</f>
        <v/>
      </c>
      <c r="B170" s="15">
        <f>IF(Seguimiento!$A$17="","",Seguimiento!$B$17)</f>
        <v/>
      </c>
      <c r="C170" s="15">
        <f>IF(Seguimiento!$A$17="","",Seguimiento!$C$17&amp;"")</f>
        <v/>
      </c>
      <c r="D170" s="16" t="n">
        <v>46297</v>
      </c>
      <c r="E170" s="15">
        <f>IF(Seguimiento!$Q$17="","",IF(ISNUMBER(Seguimiento!$Q$17),IF(Seguimiento!$Q$17&lt;=1,Seguimiento!$Q$17*100,Seguimiento!$Q$17),IFERROR(IF(VALUE(SUBSTITUTE(SUBSTITUTE(Seguimiento!$Q$17,"%",""),",","."))&lt;=1,VALUE(SUBSTITUTE(SUBSTITUTE(Seguimiento!$Q$17,"%",""),",","."))*100,VALUE(SUBSTITUTE(SUBSTITUTE(Seguimiento!$Q$17,"%",""),",","."))),"")))</f>
        <v/>
      </c>
      <c r="F170" s="15">
        <f>IF(Seguimiento!$Q$17="","","Avance inicial (matriz MINAM)")</f>
        <v/>
      </c>
    </row>
    <row r="171">
      <c r="A171" s="15">
        <f>IF(Seguimiento!$A$17="","",Seguimiento!$A$17)</f>
        <v/>
      </c>
      <c r="B171" s="15">
        <f>IF(Seguimiento!$A$17="","",Seguimiento!$B$17)</f>
        <v/>
      </c>
      <c r="C171" s="15">
        <f>IF(Seguimiento!$A$17="","",Seguimiento!$C$17&amp;"")</f>
        <v/>
      </c>
      <c r="D171" s="16" t="n">
        <v>46304</v>
      </c>
      <c r="E171" s="15">
        <f>IF(Seguimiento!$R$17="","",IF(ISNUMBER(Seguimiento!$R$17),IF(Seguimiento!$R$17&lt;=1,Seguimiento!$R$17*100,Seguimiento!$R$17),IFERROR(IF(VALUE(SUBSTITUTE(SUBSTITUTE(Seguimiento!$R$17,"%",""),",","."))&lt;=1,VALUE(SUBSTITUTE(SUBSTITUTE(Seguimiento!$R$17,"%",""),",","."))*100,VALUE(SUBSTITUTE(SUBSTITUTE(Seguimiento!$R$17,"%",""),",","."))),"")))</f>
        <v/>
      </c>
      <c r="F171" s="15">
        <f>IF(Seguimiento!$R$17="","",Seguimiento!$S$17&amp;"")</f>
        <v/>
      </c>
    </row>
    <row r="172">
      <c r="A172" s="15">
        <f>IF(Seguimiento!$A$17="","",Seguimiento!$A$17)</f>
        <v/>
      </c>
      <c r="B172" s="15">
        <f>IF(Seguimiento!$A$17="","",Seguimiento!$B$17)</f>
        <v/>
      </c>
      <c r="C172" s="15">
        <f>IF(Seguimiento!$A$17="","",Seguimiento!$C$17&amp;"")</f>
        <v/>
      </c>
      <c r="D172" s="16" t="n">
        <v>46311</v>
      </c>
      <c r="E172" s="15">
        <f>IF(Seguimiento!$T$17="","",IF(ISNUMBER(Seguimiento!$T$17),IF(Seguimiento!$T$17&lt;=1,Seguimiento!$T$17*100,Seguimiento!$T$17),IFERROR(IF(VALUE(SUBSTITUTE(SUBSTITUTE(Seguimiento!$T$17,"%",""),",","."))&lt;=1,VALUE(SUBSTITUTE(SUBSTITUTE(Seguimiento!$T$17,"%",""),",","."))*100,VALUE(SUBSTITUTE(SUBSTITUTE(Seguimiento!$T$17,"%",""),",","."))),"")))</f>
        <v/>
      </c>
      <c r="F172" s="15">
        <f>IF(Seguimiento!$T$17="","",Seguimiento!$U$17&amp;"")</f>
        <v/>
      </c>
    </row>
    <row r="173">
      <c r="A173" s="15">
        <f>IF(Seguimiento!$A$17="","",Seguimiento!$A$17)</f>
        <v/>
      </c>
      <c r="B173" s="15">
        <f>IF(Seguimiento!$A$17="","",Seguimiento!$B$17)</f>
        <v/>
      </c>
      <c r="C173" s="15">
        <f>IF(Seguimiento!$A$17="","",Seguimiento!$C$17&amp;"")</f>
        <v/>
      </c>
      <c r="D173" s="16" t="n">
        <v>46318</v>
      </c>
      <c r="E173" s="15">
        <f>IF(Seguimiento!$V$17="","",IF(ISNUMBER(Seguimiento!$V$17),IF(Seguimiento!$V$17&lt;=1,Seguimiento!$V$17*100,Seguimiento!$V$17),IFERROR(IF(VALUE(SUBSTITUTE(SUBSTITUTE(Seguimiento!$V$17,"%",""),",","."))&lt;=1,VALUE(SUBSTITUTE(SUBSTITUTE(Seguimiento!$V$17,"%",""),",","."))*100,VALUE(SUBSTITUTE(SUBSTITUTE(Seguimiento!$V$17,"%",""),",","."))),"")))</f>
        <v/>
      </c>
      <c r="F173" s="15">
        <f>IF(Seguimiento!$V$17="","",Seguimiento!$W$17&amp;"")</f>
        <v/>
      </c>
    </row>
    <row r="174">
      <c r="A174" s="15">
        <f>IF(Seguimiento!$A$17="","",Seguimiento!$A$17)</f>
        <v/>
      </c>
      <c r="B174" s="15">
        <f>IF(Seguimiento!$A$17="","",Seguimiento!$B$17)</f>
        <v/>
      </c>
      <c r="C174" s="15">
        <f>IF(Seguimiento!$A$17="","",Seguimiento!$C$17&amp;"")</f>
        <v/>
      </c>
      <c r="D174" s="16" t="n">
        <v>46325</v>
      </c>
      <c r="E174" s="15">
        <f>IF(Seguimiento!$X$17="","",IF(ISNUMBER(Seguimiento!$X$17),IF(Seguimiento!$X$17&lt;=1,Seguimiento!$X$17*100,Seguimiento!$X$17),IFERROR(IF(VALUE(SUBSTITUTE(SUBSTITUTE(Seguimiento!$X$17,"%",""),",","."))&lt;=1,VALUE(SUBSTITUTE(SUBSTITUTE(Seguimiento!$X$17,"%",""),",","."))*100,VALUE(SUBSTITUTE(SUBSTITUTE(Seguimiento!$X$17,"%",""),",","."))),"")))</f>
        <v/>
      </c>
      <c r="F174" s="15">
        <f>IF(Seguimiento!$X$17="","",Seguimiento!$Y$17&amp;"")</f>
        <v/>
      </c>
    </row>
    <row r="175">
      <c r="A175" s="15">
        <f>IF(Seguimiento!$A$17="","",Seguimiento!$A$17)</f>
        <v/>
      </c>
      <c r="B175" s="15">
        <f>IF(Seguimiento!$A$17="","",Seguimiento!$B$17)</f>
        <v/>
      </c>
      <c r="C175" s="15">
        <f>IF(Seguimiento!$A$17="","",Seguimiento!$C$17&amp;"")</f>
        <v/>
      </c>
      <c r="D175" s="16" t="n">
        <v>46332</v>
      </c>
      <c r="E175" s="15">
        <f>IF(Seguimiento!$Z$17="","",IF(ISNUMBER(Seguimiento!$Z$17),IF(Seguimiento!$Z$17&lt;=1,Seguimiento!$Z$17*100,Seguimiento!$Z$17),IFERROR(IF(VALUE(SUBSTITUTE(SUBSTITUTE(Seguimiento!$Z$17,"%",""),",","."))&lt;=1,VALUE(SUBSTITUTE(SUBSTITUTE(Seguimiento!$Z$17,"%",""),",","."))*100,VALUE(SUBSTITUTE(SUBSTITUTE(Seguimiento!$Z$17,"%",""),",","."))),"")))</f>
        <v/>
      </c>
      <c r="F175" s="15">
        <f>IF(Seguimiento!$Z$17="","",Seguimiento!$AA$17&amp;"")</f>
        <v/>
      </c>
    </row>
    <row r="176">
      <c r="A176" s="15">
        <f>IF(Seguimiento!$A$17="","",Seguimiento!$A$17)</f>
        <v/>
      </c>
      <c r="B176" s="15">
        <f>IF(Seguimiento!$A$17="","",Seguimiento!$B$17)</f>
        <v/>
      </c>
      <c r="C176" s="15">
        <f>IF(Seguimiento!$A$17="","",Seguimiento!$C$17&amp;"")</f>
        <v/>
      </c>
      <c r="D176" s="16" t="n">
        <v>46339</v>
      </c>
      <c r="E176" s="15">
        <f>IF(Seguimiento!$AB$17="","",IF(ISNUMBER(Seguimiento!$AB$17),IF(Seguimiento!$AB$17&lt;=1,Seguimiento!$AB$17*100,Seguimiento!$AB$17),IFERROR(IF(VALUE(SUBSTITUTE(SUBSTITUTE(Seguimiento!$AB$17,"%",""),",","."))&lt;=1,VALUE(SUBSTITUTE(SUBSTITUTE(Seguimiento!$AB$17,"%",""),",","."))*100,VALUE(SUBSTITUTE(SUBSTITUTE(Seguimiento!$AB$17,"%",""),",","."))),"")))</f>
        <v/>
      </c>
      <c r="F176" s="15">
        <f>IF(Seguimiento!$AB$17="","",Seguimiento!$AC$17&amp;"")</f>
        <v/>
      </c>
    </row>
    <row r="177">
      <c r="A177" s="15">
        <f>IF(Seguimiento!$A$17="","",Seguimiento!$A$17)</f>
        <v/>
      </c>
      <c r="B177" s="15">
        <f>IF(Seguimiento!$A$17="","",Seguimiento!$B$17)</f>
        <v/>
      </c>
      <c r="C177" s="15">
        <f>IF(Seguimiento!$A$17="","",Seguimiento!$C$17&amp;"")</f>
        <v/>
      </c>
      <c r="D177" s="16" t="n">
        <v>46346</v>
      </c>
      <c r="E177" s="15">
        <f>IF(Seguimiento!$AD$17="","",IF(ISNUMBER(Seguimiento!$AD$17),IF(Seguimiento!$AD$17&lt;=1,Seguimiento!$AD$17*100,Seguimiento!$AD$17),IFERROR(IF(VALUE(SUBSTITUTE(SUBSTITUTE(Seguimiento!$AD$17,"%",""),",","."))&lt;=1,VALUE(SUBSTITUTE(SUBSTITUTE(Seguimiento!$AD$17,"%",""),",","."))*100,VALUE(SUBSTITUTE(SUBSTITUTE(Seguimiento!$AD$17,"%",""),",","."))),"")))</f>
        <v/>
      </c>
      <c r="F177" s="15">
        <f>IF(Seguimiento!$AD$17="","",Seguimiento!$AE$17&amp;"")</f>
        <v/>
      </c>
    </row>
    <row r="178">
      <c r="A178" s="15">
        <f>IF(Seguimiento!$A$17="","",Seguimiento!$A$17)</f>
        <v/>
      </c>
      <c r="B178" s="15">
        <f>IF(Seguimiento!$A$17="","",Seguimiento!$B$17)</f>
        <v/>
      </c>
      <c r="C178" s="15">
        <f>IF(Seguimiento!$A$17="","",Seguimiento!$C$17&amp;"")</f>
        <v/>
      </c>
      <c r="D178" s="16" t="n">
        <v>46353</v>
      </c>
      <c r="E178" s="15">
        <f>IF(Seguimiento!$AF$17="","",IF(ISNUMBER(Seguimiento!$AF$17),IF(Seguimiento!$AF$17&lt;=1,Seguimiento!$AF$17*100,Seguimiento!$AF$17),IFERROR(IF(VALUE(SUBSTITUTE(SUBSTITUTE(Seguimiento!$AF$17,"%",""),",","."))&lt;=1,VALUE(SUBSTITUTE(SUBSTITUTE(Seguimiento!$AF$17,"%",""),",","."))*100,VALUE(SUBSTITUTE(SUBSTITUTE(Seguimiento!$AF$17,"%",""),",","."))),"")))</f>
        <v/>
      </c>
      <c r="F178" s="15">
        <f>IF(Seguimiento!$AF$17="","",Seguimiento!$AG$17&amp;"")</f>
        <v/>
      </c>
    </row>
    <row r="179">
      <c r="A179" s="15">
        <f>IF(Seguimiento!$A$17="","",Seguimiento!$A$17)</f>
        <v/>
      </c>
      <c r="B179" s="15">
        <f>IF(Seguimiento!$A$17="","",Seguimiento!$B$17)</f>
        <v/>
      </c>
      <c r="C179" s="15">
        <f>IF(Seguimiento!$A$17="","",Seguimiento!$C$17&amp;"")</f>
        <v/>
      </c>
      <c r="D179" s="16" t="n">
        <v>46360</v>
      </c>
      <c r="E179" s="15">
        <f>IF(Seguimiento!$AH$17="","",IF(ISNUMBER(Seguimiento!$AH$17),IF(Seguimiento!$AH$17&lt;=1,Seguimiento!$AH$17*100,Seguimiento!$AH$17),IFERROR(IF(VALUE(SUBSTITUTE(SUBSTITUTE(Seguimiento!$AH$17,"%",""),",","."))&lt;=1,VALUE(SUBSTITUTE(SUBSTITUTE(Seguimiento!$AH$17,"%",""),",","."))*100,VALUE(SUBSTITUTE(SUBSTITUTE(Seguimiento!$AH$17,"%",""),",","."))),"")))</f>
        <v/>
      </c>
      <c r="F179" s="15">
        <f>IF(Seguimiento!$AH$17="","",Seguimiento!$AI$17&amp;"")</f>
        <v/>
      </c>
    </row>
    <row r="180">
      <c r="A180" s="15">
        <f>IF(Seguimiento!$A$17="","",Seguimiento!$A$17)</f>
        <v/>
      </c>
      <c r="B180" s="15">
        <f>IF(Seguimiento!$A$17="","",Seguimiento!$B$17)</f>
        <v/>
      </c>
      <c r="C180" s="15">
        <f>IF(Seguimiento!$A$17="","",Seguimiento!$C$17&amp;"")</f>
        <v/>
      </c>
      <c r="D180" s="16" t="n">
        <v>46367</v>
      </c>
      <c r="E180" s="15">
        <f>IF(Seguimiento!$AJ$17="","",IF(ISNUMBER(Seguimiento!$AJ$17),IF(Seguimiento!$AJ$17&lt;=1,Seguimiento!$AJ$17*100,Seguimiento!$AJ$17),IFERROR(IF(VALUE(SUBSTITUTE(SUBSTITUTE(Seguimiento!$AJ$17,"%",""),",","."))&lt;=1,VALUE(SUBSTITUTE(SUBSTITUTE(Seguimiento!$AJ$17,"%",""),",","."))*100,VALUE(SUBSTITUTE(SUBSTITUTE(Seguimiento!$AJ$17,"%",""),",","."))),"")))</f>
        <v/>
      </c>
      <c r="F180" s="15">
        <f>IF(Seguimiento!$AJ$17="","",Seguimiento!$AK$17&amp;"")</f>
        <v/>
      </c>
    </row>
    <row r="181">
      <c r="A181" s="15">
        <f>IF(Seguimiento!$A$17="","",Seguimiento!$A$17)</f>
        <v/>
      </c>
      <c r="B181" s="15">
        <f>IF(Seguimiento!$A$17="","",Seguimiento!$B$17)</f>
        <v/>
      </c>
      <c r="C181" s="15">
        <f>IF(Seguimiento!$A$17="","",Seguimiento!$C$17&amp;"")</f>
        <v/>
      </c>
      <c r="D181" s="16" t="n">
        <v>46374</v>
      </c>
      <c r="E181" s="15">
        <f>IF(Seguimiento!$AL$17="","",IF(ISNUMBER(Seguimiento!$AL$17),IF(Seguimiento!$AL$17&lt;=1,Seguimiento!$AL$17*100,Seguimiento!$AL$17),IFERROR(IF(VALUE(SUBSTITUTE(SUBSTITUTE(Seguimiento!$AL$17,"%",""),",","."))&lt;=1,VALUE(SUBSTITUTE(SUBSTITUTE(Seguimiento!$AL$17,"%",""),",","."))*100,VALUE(SUBSTITUTE(SUBSTITUTE(Seguimiento!$AL$17,"%",""),",","."))),"")))</f>
        <v/>
      </c>
      <c r="F181" s="15">
        <f>IF(Seguimiento!$AL$17="","",Seguimiento!$AM$17&amp;"")</f>
        <v/>
      </c>
    </row>
    <row r="182">
      <c r="A182" s="15">
        <f>IF(Seguimiento!$A$18="","",Seguimiento!$A$18)</f>
        <v/>
      </c>
      <c r="B182" s="15">
        <f>IF(Seguimiento!$A$18="","",Seguimiento!$B$18)</f>
        <v/>
      </c>
      <c r="C182" s="15">
        <f>IF(Seguimiento!$A$18="","",Seguimiento!$C$18&amp;"")</f>
        <v/>
      </c>
      <c r="D182" s="16" t="n">
        <v>46297</v>
      </c>
      <c r="E182" s="15">
        <f>IF(Seguimiento!$Q$18="","",IF(ISNUMBER(Seguimiento!$Q$18),IF(Seguimiento!$Q$18&lt;=1,Seguimiento!$Q$18*100,Seguimiento!$Q$18),IFERROR(IF(VALUE(SUBSTITUTE(SUBSTITUTE(Seguimiento!$Q$18,"%",""),",","."))&lt;=1,VALUE(SUBSTITUTE(SUBSTITUTE(Seguimiento!$Q$18,"%",""),",","."))*100,VALUE(SUBSTITUTE(SUBSTITUTE(Seguimiento!$Q$18,"%",""),",","."))),"")))</f>
        <v/>
      </c>
      <c r="F182" s="15">
        <f>IF(Seguimiento!$Q$18="","","Avance inicial (matriz MINAM)")</f>
        <v/>
      </c>
    </row>
    <row r="183">
      <c r="A183" s="15">
        <f>IF(Seguimiento!$A$18="","",Seguimiento!$A$18)</f>
        <v/>
      </c>
      <c r="B183" s="15">
        <f>IF(Seguimiento!$A$18="","",Seguimiento!$B$18)</f>
        <v/>
      </c>
      <c r="C183" s="15">
        <f>IF(Seguimiento!$A$18="","",Seguimiento!$C$18&amp;"")</f>
        <v/>
      </c>
      <c r="D183" s="16" t="n">
        <v>46304</v>
      </c>
      <c r="E183" s="15">
        <f>IF(Seguimiento!$R$18="","",IF(ISNUMBER(Seguimiento!$R$18),IF(Seguimiento!$R$18&lt;=1,Seguimiento!$R$18*100,Seguimiento!$R$18),IFERROR(IF(VALUE(SUBSTITUTE(SUBSTITUTE(Seguimiento!$R$18,"%",""),",","."))&lt;=1,VALUE(SUBSTITUTE(SUBSTITUTE(Seguimiento!$R$18,"%",""),",","."))*100,VALUE(SUBSTITUTE(SUBSTITUTE(Seguimiento!$R$18,"%",""),",","."))),"")))</f>
        <v/>
      </c>
      <c r="F183" s="15">
        <f>IF(Seguimiento!$R$18="","",Seguimiento!$S$18&amp;"")</f>
        <v/>
      </c>
    </row>
    <row r="184">
      <c r="A184" s="15">
        <f>IF(Seguimiento!$A$18="","",Seguimiento!$A$18)</f>
        <v/>
      </c>
      <c r="B184" s="15">
        <f>IF(Seguimiento!$A$18="","",Seguimiento!$B$18)</f>
        <v/>
      </c>
      <c r="C184" s="15">
        <f>IF(Seguimiento!$A$18="","",Seguimiento!$C$18&amp;"")</f>
        <v/>
      </c>
      <c r="D184" s="16" t="n">
        <v>46311</v>
      </c>
      <c r="E184" s="15">
        <f>IF(Seguimiento!$T$18="","",IF(ISNUMBER(Seguimiento!$T$18),IF(Seguimiento!$T$18&lt;=1,Seguimiento!$T$18*100,Seguimiento!$T$18),IFERROR(IF(VALUE(SUBSTITUTE(SUBSTITUTE(Seguimiento!$T$18,"%",""),",","."))&lt;=1,VALUE(SUBSTITUTE(SUBSTITUTE(Seguimiento!$T$18,"%",""),",","."))*100,VALUE(SUBSTITUTE(SUBSTITUTE(Seguimiento!$T$18,"%",""),",","."))),"")))</f>
        <v/>
      </c>
      <c r="F184" s="15">
        <f>IF(Seguimiento!$T$18="","",Seguimiento!$U$18&amp;"")</f>
        <v/>
      </c>
    </row>
    <row r="185">
      <c r="A185" s="15">
        <f>IF(Seguimiento!$A$18="","",Seguimiento!$A$18)</f>
        <v/>
      </c>
      <c r="B185" s="15">
        <f>IF(Seguimiento!$A$18="","",Seguimiento!$B$18)</f>
        <v/>
      </c>
      <c r="C185" s="15">
        <f>IF(Seguimiento!$A$18="","",Seguimiento!$C$18&amp;"")</f>
        <v/>
      </c>
      <c r="D185" s="16" t="n">
        <v>46318</v>
      </c>
      <c r="E185" s="15">
        <f>IF(Seguimiento!$V$18="","",IF(ISNUMBER(Seguimiento!$V$18),IF(Seguimiento!$V$18&lt;=1,Seguimiento!$V$18*100,Seguimiento!$V$18),IFERROR(IF(VALUE(SUBSTITUTE(SUBSTITUTE(Seguimiento!$V$18,"%",""),",","."))&lt;=1,VALUE(SUBSTITUTE(SUBSTITUTE(Seguimiento!$V$18,"%",""),",","."))*100,VALUE(SUBSTITUTE(SUBSTITUTE(Seguimiento!$V$18,"%",""),",","."))),"")))</f>
        <v/>
      </c>
      <c r="F185" s="15">
        <f>IF(Seguimiento!$V$18="","",Seguimiento!$W$18&amp;"")</f>
        <v/>
      </c>
    </row>
    <row r="186">
      <c r="A186" s="15">
        <f>IF(Seguimiento!$A$18="","",Seguimiento!$A$18)</f>
        <v/>
      </c>
      <c r="B186" s="15">
        <f>IF(Seguimiento!$A$18="","",Seguimiento!$B$18)</f>
        <v/>
      </c>
      <c r="C186" s="15">
        <f>IF(Seguimiento!$A$18="","",Seguimiento!$C$18&amp;"")</f>
        <v/>
      </c>
      <c r="D186" s="16" t="n">
        <v>46325</v>
      </c>
      <c r="E186" s="15">
        <f>IF(Seguimiento!$X$18="","",IF(ISNUMBER(Seguimiento!$X$18),IF(Seguimiento!$X$18&lt;=1,Seguimiento!$X$18*100,Seguimiento!$X$18),IFERROR(IF(VALUE(SUBSTITUTE(SUBSTITUTE(Seguimiento!$X$18,"%",""),",","."))&lt;=1,VALUE(SUBSTITUTE(SUBSTITUTE(Seguimiento!$X$18,"%",""),",","."))*100,VALUE(SUBSTITUTE(SUBSTITUTE(Seguimiento!$X$18,"%",""),",","."))),"")))</f>
        <v/>
      </c>
      <c r="F186" s="15">
        <f>IF(Seguimiento!$X$18="","",Seguimiento!$Y$18&amp;"")</f>
        <v/>
      </c>
    </row>
    <row r="187">
      <c r="A187" s="15">
        <f>IF(Seguimiento!$A$18="","",Seguimiento!$A$18)</f>
        <v/>
      </c>
      <c r="B187" s="15">
        <f>IF(Seguimiento!$A$18="","",Seguimiento!$B$18)</f>
        <v/>
      </c>
      <c r="C187" s="15">
        <f>IF(Seguimiento!$A$18="","",Seguimiento!$C$18&amp;"")</f>
        <v/>
      </c>
      <c r="D187" s="16" t="n">
        <v>46332</v>
      </c>
      <c r="E187" s="15">
        <f>IF(Seguimiento!$Z$18="","",IF(ISNUMBER(Seguimiento!$Z$18),IF(Seguimiento!$Z$18&lt;=1,Seguimiento!$Z$18*100,Seguimiento!$Z$18),IFERROR(IF(VALUE(SUBSTITUTE(SUBSTITUTE(Seguimiento!$Z$18,"%",""),",","."))&lt;=1,VALUE(SUBSTITUTE(SUBSTITUTE(Seguimiento!$Z$18,"%",""),",","."))*100,VALUE(SUBSTITUTE(SUBSTITUTE(Seguimiento!$Z$18,"%",""),",","."))),"")))</f>
        <v/>
      </c>
      <c r="F187" s="15">
        <f>IF(Seguimiento!$Z$18="","",Seguimiento!$AA$18&amp;"")</f>
        <v/>
      </c>
    </row>
    <row r="188">
      <c r="A188" s="15">
        <f>IF(Seguimiento!$A$18="","",Seguimiento!$A$18)</f>
        <v/>
      </c>
      <c r="B188" s="15">
        <f>IF(Seguimiento!$A$18="","",Seguimiento!$B$18)</f>
        <v/>
      </c>
      <c r="C188" s="15">
        <f>IF(Seguimiento!$A$18="","",Seguimiento!$C$18&amp;"")</f>
        <v/>
      </c>
      <c r="D188" s="16" t="n">
        <v>46339</v>
      </c>
      <c r="E188" s="15">
        <f>IF(Seguimiento!$AB$18="","",IF(ISNUMBER(Seguimiento!$AB$18),IF(Seguimiento!$AB$18&lt;=1,Seguimiento!$AB$18*100,Seguimiento!$AB$18),IFERROR(IF(VALUE(SUBSTITUTE(SUBSTITUTE(Seguimiento!$AB$18,"%",""),",","."))&lt;=1,VALUE(SUBSTITUTE(SUBSTITUTE(Seguimiento!$AB$18,"%",""),",","."))*100,VALUE(SUBSTITUTE(SUBSTITUTE(Seguimiento!$AB$18,"%",""),",","."))),"")))</f>
        <v/>
      </c>
      <c r="F188" s="15">
        <f>IF(Seguimiento!$AB$18="","",Seguimiento!$AC$18&amp;"")</f>
        <v/>
      </c>
    </row>
    <row r="189">
      <c r="A189" s="15">
        <f>IF(Seguimiento!$A$18="","",Seguimiento!$A$18)</f>
        <v/>
      </c>
      <c r="B189" s="15">
        <f>IF(Seguimiento!$A$18="","",Seguimiento!$B$18)</f>
        <v/>
      </c>
      <c r="C189" s="15">
        <f>IF(Seguimiento!$A$18="","",Seguimiento!$C$18&amp;"")</f>
        <v/>
      </c>
      <c r="D189" s="16" t="n">
        <v>46346</v>
      </c>
      <c r="E189" s="15">
        <f>IF(Seguimiento!$AD$18="","",IF(ISNUMBER(Seguimiento!$AD$18),IF(Seguimiento!$AD$18&lt;=1,Seguimiento!$AD$18*100,Seguimiento!$AD$18),IFERROR(IF(VALUE(SUBSTITUTE(SUBSTITUTE(Seguimiento!$AD$18,"%",""),",","."))&lt;=1,VALUE(SUBSTITUTE(SUBSTITUTE(Seguimiento!$AD$18,"%",""),",","."))*100,VALUE(SUBSTITUTE(SUBSTITUTE(Seguimiento!$AD$18,"%",""),",","."))),"")))</f>
        <v/>
      </c>
      <c r="F189" s="15">
        <f>IF(Seguimiento!$AD$18="","",Seguimiento!$AE$18&amp;"")</f>
        <v/>
      </c>
    </row>
    <row r="190">
      <c r="A190" s="15">
        <f>IF(Seguimiento!$A$18="","",Seguimiento!$A$18)</f>
        <v/>
      </c>
      <c r="B190" s="15">
        <f>IF(Seguimiento!$A$18="","",Seguimiento!$B$18)</f>
        <v/>
      </c>
      <c r="C190" s="15">
        <f>IF(Seguimiento!$A$18="","",Seguimiento!$C$18&amp;"")</f>
        <v/>
      </c>
      <c r="D190" s="16" t="n">
        <v>46353</v>
      </c>
      <c r="E190" s="15">
        <f>IF(Seguimiento!$AF$18="","",IF(ISNUMBER(Seguimiento!$AF$18),IF(Seguimiento!$AF$18&lt;=1,Seguimiento!$AF$18*100,Seguimiento!$AF$18),IFERROR(IF(VALUE(SUBSTITUTE(SUBSTITUTE(Seguimiento!$AF$18,"%",""),",","."))&lt;=1,VALUE(SUBSTITUTE(SUBSTITUTE(Seguimiento!$AF$18,"%",""),",","."))*100,VALUE(SUBSTITUTE(SUBSTITUTE(Seguimiento!$AF$18,"%",""),",","."))),"")))</f>
        <v/>
      </c>
      <c r="F190" s="15">
        <f>IF(Seguimiento!$AF$18="","",Seguimiento!$AG$18&amp;"")</f>
        <v/>
      </c>
    </row>
    <row r="191">
      <c r="A191" s="15">
        <f>IF(Seguimiento!$A$18="","",Seguimiento!$A$18)</f>
        <v/>
      </c>
      <c r="B191" s="15">
        <f>IF(Seguimiento!$A$18="","",Seguimiento!$B$18)</f>
        <v/>
      </c>
      <c r="C191" s="15">
        <f>IF(Seguimiento!$A$18="","",Seguimiento!$C$18&amp;"")</f>
        <v/>
      </c>
      <c r="D191" s="16" t="n">
        <v>46360</v>
      </c>
      <c r="E191" s="15">
        <f>IF(Seguimiento!$AH$18="","",IF(ISNUMBER(Seguimiento!$AH$18),IF(Seguimiento!$AH$18&lt;=1,Seguimiento!$AH$18*100,Seguimiento!$AH$18),IFERROR(IF(VALUE(SUBSTITUTE(SUBSTITUTE(Seguimiento!$AH$18,"%",""),",","."))&lt;=1,VALUE(SUBSTITUTE(SUBSTITUTE(Seguimiento!$AH$18,"%",""),",","."))*100,VALUE(SUBSTITUTE(SUBSTITUTE(Seguimiento!$AH$18,"%",""),",","."))),"")))</f>
        <v/>
      </c>
      <c r="F191" s="15">
        <f>IF(Seguimiento!$AH$18="","",Seguimiento!$AI$18&amp;"")</f>
        <v/>
      </c>
    </row>
    <row r="192">
      <c r="A192" s="15">
        <f>IF(Seguimiento!$A$18="","",Seguimiento!$A$18)</f>
        <v/>
      </c>
      <c r="B192" s="15">
        <f>IF(Seguimiento!$A$18="","",Seguimiento!$B$18)</f>
        <v/>
      </c>
      <c r="C192" s="15">
        <f>IF(Seguimiento!$A$18="","",Seguimiento!$C$18&amp;"")</f>
        <v/>
      </c>
      <c r="D192" s="16" t="n">
        <v>46367</v>
      </c>
      <c r="E192" s="15">
        <f>IF(Seguimiento!$AJ$18="","",IF(ISNUMBER(Seguimiento!$AJ$18),IF(Seguimiento!$AJ$18&lt;=1,Seguimiento!$AJ$18*100,Seguimiento!$AJ$18),IFERROR(IF(VALUE(SUBSTITUTE(SUBSTITUTE(Seguimiento!$AJ$18,"%",""),",","."))&lt;=1,VALUE(SUBSTITUTE(SUBSTITUTE(Seguimiento!$AJ$18,"%",""),",","."))*100,VALUE(SUBSTITUTE(SUBSTITUTE(Seguimiento!$AJ$18,"%",""),",","."))),"")))</f>
        <v/>
      </c>
      <c r="F192" s="15">
        <f>IF(Seguimiento!$AJ$18="","",Seguimiento!$AK$18&amp;"")</f>
        <v/>
      </c>
    </row>
    <row r="193">
      <c r="A193" s="15">
        <f>IF(Seguimiento!$A$18="","",Seguimiento!$A$18)</f>
        <v/>
      </c>
      <c r="B193" s="15">
        <f>IF(Seguimiento!$A$18="","",Seguimiento!$B$18)</f>
        <v/>
      </c>
      <c r="C193" s="15">
        <f>IF(Seguimiento!$A$18="","",Seguimiento!$C$18&amp;"")</f>
        <v/>
      </c>
      <c r="D193" s="16" t="n">
        <v>46374</v>
      </c>
      <c r="E193" s="15">
        <f>IF(Seguimiento!$AL$18="","",IF(ISNUMBER(Seguimiento!$AL$18),IF(Seguimiento!$AL$18&lt;=1,Seguimiento!$AL$18*100,Seguimiento!$AL$18),IFERROR(IF(VALUE(SUBSTITUTE(SUBSTITUTE(Seguimiento!$AL$18,"%",""),",","."))&lt;=1,VALUE(SUBSTITUTE(SUBSTITUTE(Seguimiento!$AL$18,"%",""),",","."))*100,VALUE(SUBSTITUTE(SUBSTITUTE(Seguimiento!$AL$18,"%",""),",","."))),"")))</f>
        <v/>
      </c>
      <c r="F193" s="15">
        <f>IF(Seguimiento!$AL$18="","",Seguimiento!$AM$18&amp;"")</f>
        <v/>
      </c>
    </row>
    <row r="194">
      <c r="A194" s="15">
        <f>IF(Seguimiento!$A$19="","",Seguimiento!$A$19)</f>
        <v/>
      </c>
      <c r="B194" s="15">
        <f>IF(Seguimiento!$A$19="","",Seguimiento!$B$19)</f>
        <v/>
      </c>
      <c r="C194" s="15">
        <f>IF(Seguimiento!$A$19="","",Seguimiento!$C$19&amp;"")</f>
        <v/>
      </c>
      <c r="D194" s="16" t="n">
        <v>46297</v>
      </c>
      <c r="E194" s="15">
        <f>IF(Seguimiento!$Q$19="","",IF(ISNUMBER(Seguimiento!$Q$19),IF(Seguimiento!$Q$19&lt;=1,Seguimiento!$Q$19*100,Seguimiento!$Q$19),IFERROR(IF(VALUE(SUBSTITUTE(SUBSTITUTE(Seguimiento!$Q$19,"%",""),",","."))&lt;=1,VALUE(SUBSTITUTE(SUBSTITUTE(Seguimiento!$Q$19,"%",""),",","."))*100,VALUE(SUBSTITUTE(SUBSTITUTE(Seguimiento!$Q$19,"%",""),",","."))),"")))</f>
        <v/>
      </c>
      <c r="F194" s="15">
        <f>IF(Seguimiento!$Q$19="","","Avance inicial (matriz MINAM)")</f>
        <v/>
      </c>
    </row>
    <row r="195">
      <c r="A195" s="15">
        <f>IF(Seguimiento!$A$19="","",Seguimiento!$A$19)</f>
        <v/>
      </c>
      <c r="B195" s="15">
        <f>IF(Seguimiento!$A$19="","",Seguimiento!$B$19)</f>
        <v/>
      </c>
      <c r="C195" s="15">
        <f>IF(Seguimiento!$A$19="","",Seguimiento!$C$19&amp;"")</f>
        <v/>
      </c>
      <c r="D195" s="16" t="n">
        <v>46304</v>
      </c>
      <c r="E195" s="15">
        <f>IF(Seguimiento!$R$19="","",IF(ISNUMBER(Seguimiento!$R$19),IF(Seguimiento!$R$19&lt;=1,Seguimiento!$R$19*100,Seguimiento!$R$19),IFERROR(IF(VALUE(SUBSTITUTE(SUBSTITUTE(Seguimiento!$R$19,"%",""),",","."))&lt;=1,VALUE(SUBSTITUTE(SUBSTITUTE(Seguimiento!$R$19,"%",""),",","."))*100,VALUE(SUBSTITUTE(SUBSTITUTE(Seguimiento!$R$19,"%",""),",","."))),"")))</f>
        <v/>
      </c>
      <c r="F195" s="15">
        <f>IF(Seguimiento!$R$19="","",Seguimiento!$S$19&amp;"")</f>
        <v/>
      </c>
    </row>
    <row r="196">
      <c r="A196" s="15">
        <f>IF(Seguimiento!$A$19="","",Seguimiento!$A$19)</f>
        <v/>
      </c>
      <c r="B196" s="15">
        <f>IF(Seguimiento!$A$19="","",Seguimiento!$B$19)</f>
        <v/>
      </c>
      <c r="C196" s="15">
        <f>IF(Seguimiento!$A$19="","",Seguimiento!$C$19&amp;"")</f>
        <v/>
      </c>
      <c r="D196" s="16" t="n">
        <v>46311</v>
      </c>
      <c r="E196" s="15">
        <f>IF(Seguimiento!$T$19="","",IF(ISNUMBER(Seguimiento!$T$19),IF(Seguimiento!$T$19&lt;=1,Seguimiento!$T$19*100,Seguimiento!$T$19),IFERROR(IF(VALUE(SUBSTITUTE(SUBSTITUTE(Seguimiento!$T$19,"%",""),",","."))&lt;=1,VALUE(SUBSTITUTE(SUBSTITUTE(Seguimiento!$T$19,"%",""),",","."))*100,VALUE(SUBSTITUTE(SUBSTITUTE(Seguimiento!$T$19,"%",""),",","."))),"")))</f>
        <v/>
      </c>
      <c r="F196" s="15">
        <f>IF(Seguimiento!$T$19="","",Seguimiento!$U$19&amp;"")</f>
        <v/>
      </c>
    </row>
    <row r="197">
      <c r="A197" s="15">
        <f>IF(Seguimiento!$A$19="","",Seguimiento!$A$19)</f>
        <v/>
      </c>
      <c r="B197" s="15">
        <f>IF(Seguimiento!$A$19="","",Seguimiento!$B$19)</f>
        <v/>
      </c>
      <c r="C197" s="15">
        <f>IF(Seguimiento!$A$19="","",Seguimiento!$C$19&amp;"")</f>
        <v/>
      </c>
      <c r="D197" s="16" t="n">
        <v>46318</v>
      </c>
      <c r="E197" s="15">
        <f>IF(Seguimiento!$V$19="","",IF(ISNUMBER(Seguimiento!$V$19),IF(Seguimiento!$V$19&lt;=1,Seguimiento!$V$19*100,Seguimiento!$V$19),IFERROR(IF(VALUE(SUBSTITUTE(SUBSTITUTE(Seguimiento!$V$19,"%",""),",","."))&lt;=1,VALUE(SUBSTITUTE(SUBSTITUTE(Seguimiento!$V$19,"%",""),",","."))*100,VALUE(SUBSTITUTE(SUBSTITUTE(Seguimiento!$V$19,"%",""),",","."))),"")))</f>
        <v/>
      </c>
      <c r="F197" s="15">
        <f>IF(Seguimiento!$V$19="","",Seguimiento!$W$19&amp;"")</f>
        <v/>
      </c>
    </row>
    <row r="198">
      <c r="A198" s="15">
        <f>IF(Seguimiento!$A$19="","",Seguimiento!$A$19)</f>
        <v/>
      </c>
      <c r="B198" s="15">
        <f>IF(Seguimiento!$A$19="","",Seguimiento!$B$19)</f>
        <v/>
      </c>
      <c r="C198" s="15">
        <f>IF(Seguimiento!$A$19="","",Seguimiento!$C$19&amp;"")</f>
        <v/>
      </c>
      <c r="D198" s="16" t="n">
        <v>46325</v>
      </c>
      <c r="E198" s="15">
        <f>IF(Seguimiento!$X$19="","",IF(ISNUMBER(Seguimiento!$X$19),IF(Seguimiento!$X$19&lt;=1,Seguimiento!$X$19*100,Seguimiento!$X$19),IFERROR(IF(VALUE(SUBSTITUTE(SUBSTITUTE(Seguimiento!$X$19,"%",""),",","."))&lt;=1,VALUE(SUBSTITUTE(SUBSTITUTE(Seguimiento!$X$19,"%",""),",","."))*100,VALUE(SUBSTITUTE(SUBSTITUTE(Seguimiento!$X$19,"%",""),",","."))),"")))</f>
        <v/>
      </c>
      <c r="F198" s="15">
        <f>IF(Seguimiento!$X$19="","",Seguimiento!$Y$19&amp;"")</f>
        <v/>
      </c>
    </row>
    <row r="199">
      <c r="A199" s="15">
        <f>IF(Seguimiento!$A$19="","",Seguimiento!$A$19)</f>
        <v/>
      </c>
      <c r="B199" s="15">
        <f>IF(Seguimiento!$A$19="","",Seguimiento!$B$19)</f>
        <v/>
      </c>
      <c r="C199" s="15">
        <f>IF(Seguimiento!$A$19="","",Seguimiento!$C$19&amp;"")</f>
        <v/>
      </c>
      <c r="D199" s="16" t="n">
        <v>46332</v>
      </c>
      <c r="E199" s="15">
        <f>IF(Seguimiento!$Z$19="","",IF(ISNUMBER(Seguimiento!$Z$19),IF(Seguimiento!$Z$19&lt;=1,Seguimiento!$Z$19*100,Seguimiento!$Z$19),IFERROR(IF(VALUE(SUBSTITUTE(SUBSTITUTE(Seguimiento!$Z$19,"%",""),",","."))&lt;=1,VALUE(SUBSTITUTE(SUBSTITUTE(Seguimiento!$Z$19,"%",""),",","."))*100,VALUE(SUBSTITUTE(SUBSTITUTE(Seguimiento!$Z$19,"%",""),",","."))),"")))</f>
        <v/>
      </c>
      <c r="F199" s="15">
        <f>IF(Seguimiento!$Z$19="","",Seguimiento!$AA$19&amp;"")</f>
        <v/>
      </c>
    </row>
    <row r="200">
      <c r="A200" s="15">
        <f>IF(Seguimiento!$A$19="","",Seguimiento!$A$19)</f>
        <v/>
      </c>
      <c r="B200" s="15">
        <f>IF(Seguimiento!$A$19="","",Seguimiento!$B$19)</f>
        <v/>
      </c>
      <c r="C200" s="15">
        <f>IF(Seguimiento!$A$19="","",Seguimiento!$C$19&amp;"")</f>
        <v/>
      </c>
      <c r="D200" s="16" t="n">
        <v>46339</v>
      </c>
      <c r="E200" s="15">
        <f>IF(Seguimiento!$AB$19="","",IF(ISNUMBER(Seguimiento!$AB$19),IF(Seguimiento!$AB$19&lt;=1,Seguimiento!$AB$19*100,Seguimiento!$AB$19),IFERROR(IF(VALUE(SUBSTITUTE(SUBSTITUTE(Seguimiento!$AB$19,"%",""),",","."))&lt;=1,VALUE(SUBSTITUTE(SUBSTITUTE(Seguimiento!$AB$19,"%",""),",","."))*100,VALUE(SUBSTITUTE(SUBSTITUTE(Seguimiento!$AB$19,"%",""),",","."))),"")))</f>
        <v/>
      </c>
      <c r="F200" s="15">
        <f>IF(Seguimiento!$AB$19="","",Seguimiento!$AC$19&amp;"")</f>
        <v/>
      </c>
    </row>
    <row r="201">
      <c r="A201" s="15">
        <f>IF(Seguimiento!$A$19="","",Seguimiento!$A$19)</f>
        <v/>
      </c>
      <c r="B201" s="15">
        <f>IF(Seguimiento!$A$19="","",Seguimiento!$B$19)</f>
        <v/>
      </c>
      <c r="C201" s="15">
        <f>IF(Seguimiento!$A$19="","",Seguimiento!$C$19&amp;"")</f>
        <v/>
      </c>
      <c r="D201" s="16" t="n">
        <v>46346</v>
      </c>
      <c r="E201" s="15">
        <f>IF(Seguimiento!$AD$19="","",IF(ISNUMBER(Seguimiento!$AD$19),IF(Seguimiento!$AD$19&lt;=1,Seguimiento!$AD$19*100,Seguimiento!$AD$19),IFERROR(IF(VALUE(SUBSTITUTE(SUBSTITUTE(Seguimiento!$AD$19,"%",""),",","."))&lt;=1,VALUE(SUBSTITUTE(SUBSTITUTE(Seguimiento!$AD$19,"%",""),",","."))*100,VALUE(SUBSTITUTE(SUBSTITUTE(Seguimiento!$AD$19,"%",""),",","."))),"")))</f>
        <v/>
      </c>
      <c r="F201" s="15">
        <f>IF(Seguimiento!$AD$19="","",Seguimiento!$AE$19&amp;"")</f>
        <v/>
      </c>
    </row>
    <row r="202">
      <c r="A202" s="15">
        <f>IF(Seguimiento!$A$19="","",Seguimiento!$A$19)</f>
        <v/>
      </c>
      <c r="B202" s="15">
        <f>IF(Seguimiento!$A$19="","",Seguimiento!$B$19)</f>
        <v/>
      </c>
      <c r="C202" s="15">
        <f>IF(Seguimiento!$A$19="","",Seguimiento!$C$19&amp;"")</f>
        <v/>
      </c>
      <c r="D202" s="16" t="n">
        <v>46353</v>
      </c>
      <c r="E202" s="15">
        <f>IF(Seguimiento!$AF$19="","",IF(ISNUMBER(Seguimiento!$AF$19),IF(Seguimiento!$AF$19&lt;=1,Seguimiento!$AF$19*100,Seguimiento!$AF$19),IFERROR(IF(VALUE(SUBSTITUTE(SUBSTITUTE(Seguimiento!$AF$19,"%",""),",","."))&lt;=1,VALUE(SUBSTITUTE(SUBSTITUTE(Seguimiento!$AF$19,"%",""),",","."))*100,VALUE(SUBSTITUTE(SUBSTITUTE(Seguimiento!$AF$19,"%",""),",","."))),"")))</f>
        <v/>
      </c>
      <c r="F202" s="15">
        <f>IF(Seguimiento!$AF$19="","",Seguimiento!$AG$19&amp;"")</f>
        <v/>
      </c>
    </row>
    <row r="203">
      <c r="A203" s="15">
        <f>IF(Seguimiento!$A$19="","",Seguimiento!$A$19)</f>
        <v/>
      </c>
      <c r="B203" s="15">
        <f>IF(Seguimiento!$A$19="","",Seguimiento!$B$19)</f>
        <v/>
      </c>
      <c r="C203" s="15">
        <f>IF(Seguimiento!$A$19="","",Seguimiento!$C$19&amp;"")</f>
        <v/>
      </c>
      <c r="D203" s="16" t="n">
        <v>46360</v>
      </c>
      <c r="E203" s="15">
        <f>IF(Seguimiento!$AH$19="","",IF(ISNUMBER(Seguimiento!$AH$19),IF(Seguimiento!$AH$19&lt;=1,Seguimiento!$AH$19*100,Seguimiento!$AH$19),IFERROR(IF(VALUE(SUBSTITUTE(SUBSTITUTE(Seguimiento!$AH$19,"%",""),",","."))&lt;=1,VALUE(SUBSTITUTE(SUBSTITUTE(Seguimiento!$AH$19,"%",""),",","."))*100,VALUE(SUBSTITUTE(SUBSTITUTE(Seguimiento!$AH$19,"%",""),",","."))),"")))</f>
        <v/>
      </c>
      <c r="F203" s="15">
        <f>IF(Seguimiento!$AH$19="","",Seguimiento!$AI$19&amp;"")</f>
        <v/>
      </c>
    </row>
    <row r="204">
      <c r="A204" s="15">
        <f>IF(Seguimiento!$A$19="","",Seguimiento!$A$19)</f>
        <v/>
      </c>
      <c r="B204" s="15">
        <f>IF(Seguimiento!$A$19="","",Seguimiento!$B$19)</f>
        <v/>
      </c>
      <c r="C204" s="15">
        <f>IF(Seguimiento!$A$19="","",Seguimiento!$C$19&amp;"")</f>
        <v/>
      </c>
      <c r="D204" s="16" t="n">
        <v>46367</v>
      </c>
      <c r="E204" s="15">
        <f>IF(Seguimiento!$AJ$19="","",IF(ISNUMBER(Seguimiento!$AJ$19),IF(Seguimiento!$AJ$19&lt;=1,Seguimiento!$AJ$19*100,Seguimiento!$AJ$19),IFERROR(IF(VALUE(SUBSTITUTE(SUBSTITUTE(Seguimiento!$AJ$19,"%",""),",","."))&lt;=1,VALUE(SUBSTITUTE(SUBSTITUTE(Seguimiento!$AJ$19,"%",""),",","."))*100,VALUE(SUBSTITUTE(SUBSTITUTE(Seguimiento!$AJ$19,"%",""),",","."))),"")))</f>
        <v/>
      </c>
      <c r="F204" s="15">
        <f>IF(Seguimiento!$AJ$19="","",Seguimiento!$AK$19&amp;"")</f>
        <v/>
      </c>
    </row>
    <row r="205">
      <c r="A205" s="15">
        <f>IF(Seguimiento!$A$19="","",Seguimiento!$A$19)</f>
        <v/>
      </c>
      <c r="B205" s="15">
        <f>IF(Seguimiento!$A$19="","",Seguimiento!$B$19)</f>
        <v/>
      </c>
      <c r="C205" s="15">
        <f>IF(Seguimiento!$A$19="","",Seguimiento!$C$19&amp;"")</f>
        <v/>
      </c>
      <c r="D205" s="16" t="n">
        <v>46374</v>
      </c>
      <c r="E205" s="15">
        <f>IF(Seguimiento!$AL$19="","",IF(ISNUMBER(Seguimiento!$AL$19),IF(Seguimiento!$AL$19&lt;=1,Seguimiento!$AL$19*100,Seguimiento!$AL$19),IFERROR(IF(VALUE(SUBSTITUTE(SUBSTITUTE(Seguimiento!$AL$19,"%",""),",","."))&lt;=1,VALUE(SUBSTITUTE(SUBSTITUTE(Seguimiento!$AL$19,"%",""),",","."))*100,VALUE(SUBSTITUTE(SUBSTITUTE(Seguimiento!$AL$19,"%",""),",","."))),"")))</f>
        <v/>
      </c>
      <c r="F205" s="15">
        <f>IF(Seguimiento!$AL$19="","",Seguimiento!$AM$19&amp;"")</f>
        <v/>
      </c>
    </row>
    <row r="206">
      <c r="A206" s="15">
        <f>IF(Seguimiento!$A$20="","",Seguimiento!$A$20)</f>
        <v/>
      </c>
      <c r="B206" s="15">
        <f>IF(Seguimiento!$A$20="","",Seguimiento!$B$20)</f>
        <v/>
      </c>
      <c r="C206" s="15">
        <f>IF(Seguimiento!$A$20="","",Seguimiento!$C$20&amp;"")</f>
        <v/>
      </c>
      <c r="D206" s="16" t="n">
        <v>46297</v>
      </c>
      <c r="E206" s="15">
        <f>IF(Seguimiento!$Q$20="","",IF(ISNUMBER(Seguimiento!$Q$20),IF(Seguimiento!$Q$20&lt;=1,Seguimiento!$Q$20*100,Seguimiento!$Q$20),IFERROR(IF(VALUE(SUBSTITUTE(SUBSTITUTE(Seguimiento!$Q$20,"%",""),",","."))&lt;=1,VALUE(SUBSTITUTE(SUBSTITUTE(Seguimiento!$Q$20,"%",""),",","."))*100,VALUE(SUBSTITUTE(SUBSTITUTE(Seguimiento!$Q$20,"%",""),",","."))),"")))</f>
        <v/>
      </c>
      <c r="F206" s="15">
        <f>IF(Seguimiento!$Q$20="","","Avance inicial (matriz MINAM)")</f>
        <v/>
      </c>
    </row>
    <row r="207">
      <c r="A207" s="15">
        <f>IF(Seguimiento!$A$20="","",Seguimiento!$A$20)</f>
        <v/>
      </c>
      <c r="B207" s="15">
        <f>IF(Seguimiento!$A$20="","",Seguimiento!$B$20)</f>
        <v/>
      </c>
      <c r="C207" s="15">
        <f>IF(Seguimiento!$A$20="","",Seguimiento!$C$20&amp;"")</f>
        <v/>
      </c>
      <c r="D207" s="16" t="n">
        <v>46304</v>
      </c>
      <c r="E207" s="15">
        <f>IF(Seguimiento!$R$20="","",IF(ISNUMBER(Seguimiento!$R$20),IF(Seguimiento!$R$20&lt;=1,Seguimiento!$R$20*100,Seguimiento!$R$20),IFERROR(IF(VALUE(SUBSTITUTE(SUBSTITUTE(Seguimiento!$R$20,"%",""),",","."))&lt;=1,VALUE(SUBSTITUTE(SUBSTITUTE(Seguimiento!$R$20,"%",""),",","."))*100,VALUE(SUBSTITUTE(SUBSTITUTE(Seguimiento!$R$20,"%",""),",","."))),"")))</f>
        <v/>
      </c>
      <c r="F207" s="15">
        <f>IF(Seguimiento!$R$20="","",Seguimiento!$S$20&amp;"")</f>
        <v/>
      </c>
    </row>
    <row r="208">
      <c r="A208" s="15">
        <f>IF(Seguimiento!$A$20="","",Seguimiento!$A$20)</f>
        <v/>
      </c>
      <c r="B208" s="15">
        <f>IF(Seguimiento!$A$20="","",Seguimiento!$B$20)</f>
        <v/>
      </c>
      <c r="C208" s="15">
        <f>IF(Seguimiento!$A$20="","",Seguimiento!$C$20&amp;"")</f>
        <v/>
      </c>
      <c r="D208" s="16" t="n">
        <v>46311</v>
      </c>
      <c r="E208" s="15">
        <f>IF(Seguimiento!$T$20="","",IF(ISNUMBER(Seguimiento!$T$20),IF(Seguimiento!$T$20&lt;=1,Seguimiento!$T$20*100,Seguimiento!$T$20),IFERROR(IF(VALUE(SUBSTITUTE(SUBSTITUTE(Seguimiento!$T$20,"%",""),",","."))&lt;=1,VALUE(SUBSTITUTE(SUBSTITUTE(Seguimiento!$T$20,"%",""),",","."))*100,VALUE(SUBSTITUTE(SUBSTITUTE(Seguimiento!$T$20,"%",""),",","."))),"")))</f>
        <v/>
      </c>
      <c r="F208" s="15">
        <f>IF(Seguimiento!$T$20="","",Seguimiento!$U$20&amp;"")</f>
        <v/>
      </c>
    </row>
    <row r="209">
      <c r="A209" s="15">
        <f>IF(Seguimiento!$A$20="","",Seguimiento!$A$20)</f>
        <v/>
      </c>
      <c r="B209" s="15">
        <f>IF(Seguimiento!$A$20="","",Seguimiento!$B$20)</f>
        <v/>
      </c>
      <c r="C209" s="15">
        <f>IF(Seguimiento!$A$20="","",Seguimiento!$C$20&amp;"")</f>
        <v/>
      </c>
      <c r="D209" s="16" t="n">
        <v>46318</v>
      </c>
      <c r="E209" s="15">
        <f>IF(Seguimiento!$V$20="","",IF(ISNUMBER(Seguimiento!$V$20),IF(Seguimiento!$V$20&lt;=1,Seguimiento!$V$20*100,Seguimiento!$V$20),IFERROR(IF(VALUE(SUBSTITUTE(SUBSTITUTE(Seguimiento!$V$20,"%",""),",","."))&lt;=1,VALUE(SUBSTITUTE(SUBSTITUTE(Seguimiento!$V$20,"%",""),",","."))*100,VALUE(SUBSTITUTE(SUBSTITUTE(Seguimiento!$V$20,"%",""),",","."))),"")))</f>
        <v/>
      </c>
      <c r="F209" s="15">
        <f>IF(Seguimiento!$V$20="","",Seguimiento!$W$20&amp;"")</f>
        <v/>
      </c>
    </row>
    <row r="210">
      <c r="A210" s="15">
        <f>IF(Seguimiento!$A$20="","",Seguimiento!$A$20)</f>
        <v/>
      </c>
      <c r="B210" s="15">
        <f>IF(Seguimiento!$A$20="","",Seguimiento!$B$20)</f>
        <v/>
      </c>
      <c r="C210" s="15">
        <f>IF(Seguimiento!$A$20="","",Seguimiento!$C$20&amp;"")</f>
        <v/>
      </c>
      <c r="D210" s="16" t="n">
        <v>46325</v>
      </c>
      <c r="E210" s="15">
        <f>IF(Seguimiento!$X$20="","",IF(ISNUMBER(Seguimiento!$X$20),IF(Seguimiento!$X$20&lt;=1,Seguimiento!$X$20*100,Seguimiento!$X$20),IFERROR(IF(VALUE(SUBSTITUTE(SUBSTITUTE(Seguimiento!$X$20,"%",""),",","."))&lt;=1,VALUE(SUBSTITUTE(SUBSTITUTE(Seguimiento!$X$20,"%",""),",","."))*100,VALUE(SUBSTITUTE(SUBSTITUTE(Seguimiento!$X$20,"%",""),",","."))),"")))</f>
        <v/>
      </c>
      <c r="F210" s="15">
        <f>IF(Seguimiento!$X$20="","",Seguimiento!$Y$20&amp;"")</f>
        <v/>
      </c>
    </row>
    <row r="211">
      <c r="A211" s="15">
        <f>IF(Seguimiento!$A$20="","",Seguimiento!$A$20)</f>
        <v/>
      </c>
      <c r="B211" s="15">
        <f>IF(Seguimiento!$A$20="","",Seguimiento!$B$20)</f>
        <v/>
      </c>
      <c r="C211" s="15">
        <f>IF(Seguimiento!$A$20="","",Seguimiento!$C$20&amp;"")</f>
        <v/>
      </c>
      <c r="D211" s="16" t="n">
        <v>46332</v>
      </c>
      <c r="E211" s="15">
        <f>IF(Seguimiento!$Z$20="","",IF(ISNUMBER(Seguimiento!$Z$20),IF(Seguimiento!$Z$20&lt;=1,Seguimiento!$Z$20*100,Seguimiento!$Z$20),IFERROR(IF(VALUE(SUBSTITUTE(SUBSTITUTE(Seguimiento!$Z$20,"%",""),",","."))&lt;=1,VALUE(SUBSTITUTE(SUBSTITUTE(Seguimiento!$Z$20,"%",""),",","."))*100,VALUE(SUBSTITUTE(SUBSTITUTE(Seguimiento!$Z$20,"%",""),",","."))),"")))</f>
        <v/>
      </c>
      <c r="F211" s="15">
        <f>IF(Seguimiento!$Z$20="","",Seguimiento!$AA$20&amp;"")</f>
        <v/>
      </c>
    </row>
    <row r="212">
      <c r="A212" s="15">
        <f>IF(Seguimiento!$A$20="","",Seguimiento!$A$20)</f>
        <v/>
      </c>
      <c r="B212" s="15">
        <f>IF(Seguimiento!$A$20="","",Seguimiento!$B$20)</f>
        <v/>
      </c>
      <c r="C212" s="15">
        <f>IF(Seguimiento!$A$20="","",Seguimiento!$C$20&amp;"")</f>
        <v/>
      </c>
      <c r="D212" s="16" t="n">
        <v>46339</v>
      </c>
      <c r="E212" s="15">
        <f>IF(Seguimiento!$AB$20="","",IF(ISNUMBER(Seguimiento!$AB$20),IF(Seguimiento!$AB$20&lt;=1,Seguimiento!$AB$20*100,Seguimiento!$AB$20),IFERROR(IF(VALUE(SUBSTITUTE(SUBSTITUTE(Seguimiento!$AB$20,"%",""),",","."))&lt;=1,VALUE(SUBSTITUTE(SUBSTITUTE(Seguimiento!$AB$20,"%",""),",","."))*100,VALUE(SUBSTITUTE(SUBSTITUTE(Seguimiento!$AB$20,"%",""),",","."))),"")))</f>
        <v/>
      </c>
      <c r="F212" s="15">
        <f>IF(Seguimiento!$AB$20="","",Seguimiento!$AC$20&amp;"")</f>
        <v/>
      </c>
    </row>
    <row r="213">
      <c r="A213" s="15">
        <f>IF(Seguimiento!$A$20="","",Seguimiento!$A$20)</f>
        <v/>
      </c>
      <c r="B213" s="15">
        <f>IF(Seguimiento!$A$20="","",Seguimiento!$B$20)</f>
        <v/>
      </c>
      <c r="C213" s="15">
        <f>IF(Seguimiento!$A$20="","",Seguimiento!$C$20&amp;"")</f>
        <v/>
      </c>
      <c r="D213" s="16" t="n">
        <v>46346</v>
      </c>
      <c r="E213" s="15">
        <f>IF(Seguimiento!$AD$20="","",IF(ISNUMBER(Seguimiento!$AD$20),IF(Seguimiento!$AD$20&lt;=1,Seguimiento!$AD$20*100,Seguimiento!$AD$20),IFERROR(IF(VALUE(SUBSTITUTE(SUBSTITUTE(Seguimiento!$AD$20,"%",""),",","."))&lt;=1,VALUE(SUBSTITUTE(SUBSTITUTE(Seguimiento!$AD$20,"%",""),",","."))*100,VALUE(SUBSTITUTE(SUBSTITUTE(Seguimiento!$AD$20,"%",""),",","."))),"")))</f>
        <v/>
      </c>
      <c r="F213" s="15">
        <f>IF(Seguimiento!$AD$20="","",Seguimiento!$AE$20&amp;"")</f>
        <v/>
      </c>
    </row>
    <row r="214">
      <c r="A214" s="15">
        <f>IF(Seguimiento!$A$20="","",Seguimiento!$A$20)</f>
        <v/>
      </c>
      <c r="B214" s="15">
        <f>IF(Seguimiento!$A$20="","",Seguimiento!$B$20)</f>
        <v/>
      </c>
      <c r="C214" s="15">
        <f>IF(Seguimiento!$A$20="","",Seguimiento!$C$20&amp;"")</f>
        <v/>
      </c>
      <c r="D214" s="16" t="n">
        <v>46353</v>
      </c>
      <c r="E214" s="15">
        <f>IF(Seguimiento!$AF$20="","",IF(ISNUMBER(Seguimiento!$AF$20),IF(Seguimiento!$AF$20&lt;=1,Seguimiento!$AF$20*100,Seguimiento!$AF$20),IFERROR(IF(VALUE(SUBSTITUTE(SUBSTITUTE(Seguimiento!$AF$20,"%",""),",","."))&lt;=1,VALUE(SUBSTITUTE(SUBSTITUTE(Seguimiento!$AF$20,"%",""),",","."))*100,VALUE(SUBSTITUTE(SUBSTITUTE(Seguimiento!$AF$20,"%",""),",","."))),"")))</f>
        <v/>
      </c>
      <c r="F214" s="15">
        <f>IF(Seguimiento!$AF$20="","",Seguimiento!$AG$20&amp;"")</f>
        <v/>
      </c>
    </row>
    <row r="215">
      <c r="A215" s="15">
        <f>IF(Seguimiento!$A$20="","",Seguimiento!$A$20)</f>
        <v/>
      </c>
      <c r="B215" s="15">
        <f>IF(Seguimiento!$A$20="","",Seguimiento!$B$20)</f>
        <v/>
      </c>
      <c r="C215" s="15">
        <f>IF(Seguimiento!$A$20="","",Seguimiento!$C$20&amp;"")</f>
        <v/>
      </c>
      <c r="D215" s="16" t="n">
        <v>46360</v>
      </c>
      <c r="E215" s="15">
        <f>IF(Seguimiento!$AH$20="","",IF(ISNUMBER(Seguimiento!$AH$20),IF(Seguimiento!$AH$20&lt;=1,Seguimiento!$AH$20*100,Seguimiento!$AH$20),IFERROR(IF(VALUE(SUBSTITUTE(SUBSTITUTE(Seguimiento!$AH$20,"%",""),",","."))&lt;=1,VALUE(SUBSTITUTE(SUBSTITUTE(Seguimiento!$AH$20,"%",""),",","."))*100,VALUE(SUBSTITUTE(SUBSTITUTE(Seguimiento!$AH$20,"%",""),",","."))),"")))</f>
        <v/>
      </c>
      <c r="F215" s="15">
        <f>IF(Seguimiento!$AH$20="","",Seguimiento!$AI$20&amp;"")</f>
        <v/>
      </c>
    </row>
    <row r="216">
      <c r="A216" s="15">
        <f>IF(Seguimiento!$A$20="","",Seguimiento!$A$20)</f>
        <v/>
      </c>
      <c r="B216" s="15">
        <f>IF(Seguimiento!$A$20="","",Seguimiento!$B$20)</f>
        <v/>
      </c>
      <c r="C216" s="15">
        <f>IF(Seguimiento!$A$20="","",Seguimiento!$C$20&amp;"")</f>
        <v/>
      </c>
      <c r="D216" s="16" t="n">
        <v>46367</v>
      </c>
      <c r="E216" s="15">
        <f>IF(Seguimiento!$AJ$20="","",IF(ISNUMBER(Seguimiento!$AJ$20),IF(Seguimiento!$AJ$20&lt;=1,Seguimiento!$AJ$20*100,Seguimiento!$AJ$20),IFERROR(IF(VALUE(SUBSTITUTE(SUBSTITUTE(Seguimiento!$AJ$20,"%",""),",","."))&lt;=1,VALUE(SUBSTITUTE(SUBSTITUTE(Seguimiento!$AJ$20,"%",""),",","."))*100,VALUE(SUBSTITUTE(SUBSTITUTE(Seguimiento!$AJ$20,"%",""),",","."))),"")))</f>
        <v/>
      </c>
      <c r="F216" s="15">
        <f>IF(Seguimiento!$AJ$20="","",Seguimiento!$AK$20&amp;"")</f>
        <v/>
      </c>
    </row>
    <row r="217">
      <c r="A217" s="15">
        <f>IF(Seguimiento!$A$20="","",Seguimiento!$A$20)</f>
        <v/>
      </c>
      <c r="B217" s="15">
        <f>IF(Seguimiento!$A$20="","",Seguimiento!$B$20)</f>
        <v/>
      </c>
      <c r="C217" s="15">
        <f>IF(Seguimiento!$A$20="","",Seguimiento!$C$20&amp;"")</f>
        <v/>
      </c>
      <c r="D217" s="16" t="n">
        <v>46374</v>
      </c>
      <c r="E217" s="15">
        <f>IF(Seguimiento!$AL$20="","",IF(ISNUMBER(Seguimiento!$AL$20),IF(Seguimiento!$AL$20&lt;=1,Seguimiento!$AL$20*100,Seguimiento!$AL$20),IFERROR(IF(VALUE(SUBSTITUTE(SUBSTITUTE(Seguimiento!$AL$20,"%",""),",","."))&lt;=1,VALUE(SUBSTITUTE(SUBSTITUTE(Seguimiento!$AL$20,"%",""),",","."))*100,VALUE(SUBSTITUTE(SUBSTITUTE(Seguimiento!$AL$20,"%",""),",","."))),"")))</f>
        <v/>
      </c>
      <c r="F217" s="15">
        <f>IF(Seguimiento!$AL$20="","",Seguimiento!$AM$20&amp;"")</f>
        <v/>
      </c>
    </row>
    <row r="218">
      <c r="A218" s="15">
        <f>IF(Seguimiento!$A$21="","",Seguimiento!$A$21)</f>
        <v/>
      </c>
      <c r="B218" s="15">
        <f>IF(Seguimiento!$A$21="","",Seguimiento!$B$21)</f>
        <v/>
      </c>
      <c r="C218" s="15">
        <f>IF(Seguimiento!$A$21="","",Seguimiento!$C$21&amp;"")</f>
        <v/>
      </c>
      <c r="D218" s="16" t="n">
        <v>46297</v>
      </c>
      <c r="E218" s="15">
        <f>IF(Seguimiento!$Q$21="","",IF(ISNUMBER(Seguimiento!$Q$21),IF(Seguimiento!$Q$21&lt;=1,Seguimiento!$Q$21*100,Seguimiento!$Q$21),IFERROR(IF(VALUE(SUBSTITUTE(SUBSTITUTE(Seguimiento!$Q$21,"%",""),",","."))&lt;=1,VALUE(SUBSTITUTE(SUBSTITUTE(Seguimiento!$Q$21,"%",""),",","."))*100,VALUE(SUBSTITUTE(SUBSTITUTE(Seguimiento!$Q$21,"%",""),",","."))),"")))</f>
        <v/>
      </c>
      <c r="F218" s="15">
        <f>IF(Seguimiento!$Q$21="","","Avance inicial (matriz MINAM)")</f>
        <v/>
      </c>
    </row>
    <row r="219">
      <c r="A219" s="15">
        <f>IF(Seguimiento!$A$21="","",Seguimiento!$A$21)</f>
        <v/>
      </c>
      <c r="B219" s="15">
        <f>IF(Seguimiento!$A$21="","",Seguimiento!$B$21)</f>
        <v/>
      </c>
      <c r="C219" s="15">
        <f>IF(Seguimiento!$A$21="","",Seguimiento!$C$21&amp;"")</f>
        <v/>
      </c>
      <c r="D219" s="16" t="n">
        <v>46304</v>
      </c>
      <c r="E219" s="15">
        <f>IF(Seguimiento!$R$21="","",IF(ISNUMBER(Seguimiento!$R$21),IF(Seguimiento!$R$21&lt;=1,Seguimiento!$R$21*100,Seguimiento!$R$21),IFERROR(IF(VALUE(SUBSTITUTE(SUBSTITUTE(Seguimiento!$R$21,"%",""),",","."))&lt;=1,VALUE(SUBSTITUTE(SUBSTITUTE(Seguimiento!$R$21,"%",""),",","."))*100,VALUE(SUBSTITUTE(SUBSTITUTE(Seguimiento!$R$21,"%",""),",","."))),"")))</f>
        <v/>
      </c>
      <c r="F219" s="15">
        <f>IF(Seguimiento!$R$21="","",Seguimiento!$S$21&amp;"")</f>
        <v/>
      </c>
    </row>
    <row r="220">
      <c r="A220" s="15">
        <f>IF(Seguimiento!$A$21="","",Seguimiento!$A$21)</f>
        <v/>
      </c>
      <c r="B220" s="15">
        <f>IF(Seguimiento!$A$21="","",Seguimiento!$B$21)</f>
        <v/>
      </c>
      <c r="C220" s="15">
        <f>IF(Seguimiento!$A$21="","",Seguimiento!$C$21&amp;"")</f>
        <v/>
      </c>
      <c r="D220" s="16" t="n">
        <v>46311</v>
      </c>
      <c r="E220" s="15">
        <f>IF(Seguimiento!$T$21="","",IF(ISNUMBER(Seguimiento!$T$21),IF(Seguimiento!$T$21&lt;=1,Seguimiento!$T$21*100,Seguimiento!$T$21),IFERROR(IF(VALUE(SUBSTITUTE(SUBSTITUTE(Seguimiento!$T$21,"%",""),",","."))&lt;=1,VALUE(SUBSTITUTE(SUBSTITUTE(Seguimiento!$T$21,"%",""),",","."))*100,VALUE(SUBSTITUTE(SUBSTITUTE(Seguimiento!$T$21,"%",""),",","."))),"")))</f>
        <v/>
      </c>
      <c r="F220" s="15">
        <f>IF(Seguimiento!$T$21="","",Seguimiento!$U$21&amp;"")</f>
        <v/>
      </c>
    </row>
    <row r="221">
      <c r="A221" s="15">
        <f>IF(Seguimiento!$A$21="","",Seguimiento!$A$21)</f>
        <v/>
      </c>
      <c r="B221" s="15">
        <f>IF(Seguimiento!$A$21="","",Seguimiento!$B$21)</f>
        <v/>
      </c>
      <c r="C221" s="15">
        <f>IF(Seguimiento!$A$21="","",Seguimiento!$C$21&amp;"")</f>
        <v/>
      </c>
      <c r="D221" s="16" t="n">
        <v>46318</v>
      </c>
      <c r="E221" s="15">
        <f>IF(Seguimiento!$V$21="","",IF(ISNUMBER(Seguimiento!$V$21),IF(Seguimiento!$V$21&lt;=1,Seguimiento!$V$21*100,Seguimiento!$V$21),IFERROR(IF(VALUE(SUBSTITUTE(SUBSTITUTE(Seguimiento!$V$21,"%",""),",","."))&lt;=1,VALUE(SUBSTITUTE(SUBSTITUTE(Seguimiento!$V$21,"%",""),",","."))*100,VALUE(SUBSTITUTE(SUBSTITUTE(Seguimiento!$V$21,"%",""),",","."))),"")))</f>
        <v/>
      </c>
      <c r="F221" s="15">
        <f>IF(Seguimiento!$V$21="","",Seguimiento!$W$21&amp;"")</f>
        <v/>
      </c>
    </row>
    <row r="222">
      <c r="A222" s="15">
        <f>IF(Seguimiento!$A$21="","",Seguimiento!$A$21)</f>
        <v/>
      </c>
      <c r="B222" s="15">
        <f>IF(Seguimiento!$A$21="","",Seguimiento!$B$21)</f>
        <v/>
      </c>
      <c r="C222" s="15">
        <f>IF(Seguimiento!$A$21="","",Seguimiento!$C$21&amp;"")</f>
        <v/>
      </c>
      <c r="D222" s="16" t="n">
        <v>46325</v>
      </c>
      <c r="E222" s="15">
        <f>IF(Seguimiento!$X$21="","",IF(ISNUMBER(Seguimiento!$X$21),IF(Seguimiento!$X$21&lt;=1,Seguimiento!$X$21*100,Seguimiento!$X$21),IFERROR(IF(VALUE(SUBSTITUTE(SUBSTITUTE(Seguimiento!$X$21,"%",""),",","."))&lt;=1,VALUE(SUBSTITUTE(SUBSTITUTE(Seguimiento!$X$21,"%",""),",","."))*100,VALUE(SUBSTITUTE(SUBSTITUTE(Seguimiento!$X$21,"%",""),",","."))),"")))</f>
        <v/>
      </c>
      <c r="F222" s="15">
        <f>IF(Seguimiento!$X$21="","",Seguimiento!$Y$21&amp;"")</f>
        <v/>
      </c>
    </row>
    <row r="223">
      <c r="A223" s="15">
        <f>IF(Seguimiento!$A$21="","",Seguimiento!$A$21)</f>
        <v/>
      </c>
      <c r="B223" s="15">
        <f>IF(Seguimiento!$A$21="","",Seguimiento!$B$21)</f>
        <v/>
      </c>
      <c r="C223" s="15">
        <f>IF(Seguimiento!$A$21="","",Seguimiento!$C$21&amp;"")</f>
        <v/>
      </c>
      <c r="D223" s="16" t="n">
        <v>46332</v>
      </c>
      <c r="E223" s="15">
        <f>IF(Seguimiento!$Z$21="","",IF(ISNUMBER(Seguimiento!$Z$21),IF(Seguimiento!$Z$21&lt;=1,Seguimiento!$Z$21*100,Seguimiento!$Z$21),IFERROR(IF(VALUE(SUBSTITUTE(SUBSTITUTE(Seguimiento!$Z$21,"%",""),",","."))&lt;=1,VALUE(SUBSTITUTE(SUBSTITUTE(Seguimiento!$Z$21,"%",""),",","."))*100,VALUE(SUBSTITUTE(SUBSTITUTE(Seguimiento!$Z$21,"%",""),",","."))),"")))</f>
        <v/>
      </c>
      <c r="F223" s="15">
        <f>IF(Seguimiento!$Z$21="","",Seguimiento!$AA$21&amp;"")</f>
        <v/>
      </c>
    </row>
    <row r="224">
      <c r="A224" s="15">
        <f>IF(Seguimiento!$A$21="","",Seguimiento!$A$21)</f>
        <v/>
      </c>
      <c r="B224" s="15">
        <f>IF(Seguimiento!$A$21="","",Seguimiento!$B$21)</f>
        <v/>
      </c>
      <c r="C224" s="15">
        <f>IF(Seguimiento!$A$21="","",Seguimiento!$C$21&amp;"")</f>
        <v/>
      </c>
      <c r="D224" s="16" t="n">
        <v>46339</v>
      </c>
      <c r="E224" s="15">
        <f>IF(Seguimiento!$AB$21="","",IF(ISNUMBER(Seguimiento!$AB$21),IF(Seguimiento!$AB$21&lt;=1,Seguimiento!$AB$21*100,Seguimiento!$AB$21),IFERROR(IF(VALUE(SUBSTITUTE(SUBSTITUTE(Seguimiento!$AB$21,"%",""),",","."))&lt;=1,VALUE(SUBSTITUTE(SUBSTITUTE(Seguimiento!$AB$21,"%",""),",","."))*100,VALUE(SUBSTITUTE(SUBSTITUTE(Seguimiento!$AB$21,"%",""),",","."))),"")))</f>
        <v/>
      </c>
      <c r="F224" s="15">
        <f>IF(Seguimiento!$AB$21="","",Seguimiento!$AC$21&amp;"")</f>
        <v/>
      </c>
    </row>
    <row r="225">
      <c r="A225" s="15">
        <f>IF(Seguimiento!$A$21="","",Seguimiento!$A$21)</f>
        <v/>
      </c>
      <c r="B225" s="15">
        <f>IF(Seguimiento!$A$21="","",Seguimiento!$B$21)</f>
        <v/>
      </c>
      <c r="C225" s="15">
        <f>IF(Seguimiento!$A$21="","",Seguimiento!$C$21&amp;"")</f>
        <v/>
      </c>
      <c r="D225" s="16" t="n">
        <v>46346</v>
      </c>
      <c r="E225" s="15">
        <f>IF(Seguimiento!$AD$21="","",IF(ISNUMBER(Seguimiento!$AD$21),IF(Seguimiento!$AD$21&lt;=1,Seguimiento!$AD$21*100,Seguimiento!$AD$21),IFERROR(IF(VALUE(SUBSTITUTE(SUBSTITUTE(Seguimiento!$AD$21,"%",""),",","."))&lt;=1,VALUE(SUBSTITUTE(SUBSTITUTE(Seguimiento!$AD$21,"%",""),",","."))*100,VALUE(SUBSTITUTE(SUBSTITUTE(Seguimiento!$AD$21,"%",""),",","."))),"")))</f>
        <v/>
      </c>
      <c r="F225" s="15">
        <f>IF(Seguimiento!$AD$21="","",Seguimiento!$AE$21&amp;"")</f>
        <v/>
      </c>
    </row>
    <row r="226">
      <c r="A226" s="15">
        <f>IF(Seguimiento!$A$21="","",Seguimiento!$A$21)</f>
        <v/>
      </c>
      <c r="B226" s="15">
        <f>IF(Seguimiento!$A$21="","",Seguimiento!$B$21)</f>
        <v/>
      </c>
      <c r="C226" s="15">
        <f>IF(Seguimiento!$A$21="","",Seguimiento!$C$21&amp;"")</f>
        <v/>
      </c>
      <c r="D226" s="16" t="n">
        <v>46353</v>
      </c>
      <c r="E226" s="15">
        <f>IF(Seguimiento!$AF$21="","",IF(ISNUMBER(Seguimiento!$AF$21),IF(Seguimiento!$AF$21&lt;=1,Seguimiento!$AF$21*100,Seguimiento!$AF$21),IFERROR(IF(VALUE(SUBSTITUTE(SUBSTITUTE(Seguimiento!$AF$21,"%",""),",","."))&lt;=1,VALUE(SUBSTITUTE(SUBSTITUTE(Seguimiento!$AF$21,"%",""),",","."))*100,VALUE(SUBSTITUTE(SUBSTITUTE(Seguimiento!$AF$21,"%",""),",","."))),"")))</f>
        <v/>
      </c>
      <c r="F226" s="15">
        <f>IF(Seguimiento!$AF$21="","",Seguimiento!$AG$21&amp;"")</f>
        <v/>
      </c>
    </row>
    <row r="227">
      <c r="A227" s="15">
        <f>IF(Seguimiento!$A$21="","",Seguimiento!$A$21)</f>
        <v/>
      </c>
      <c r="B227" s="15">
        <f>IF(Seguimiento!$A$21="","",Seguimiento!$B$21)</f>
        <v/>
      </c>
      <c r="C227" s="15">
        <f>IF(Seguimiento!$A$21="","",Seguimiento!$C$21&amp;"")</f>
        <v/>
      </c>
      <c r="D227" s="16" t="n">
        <v>46360</v>
      </c>
      <c r="E227" s="15">
        <f>IF(Seguimiento!$AH$21="","",IF(ISNUMBER(Seguimiento!$AH$21),IF(Seguimiento!$AH$21&lt;=1,Seguimiento!$AH$21*100,Seguimiento!$AH$21),IFERROR(IF(VALUE(SUBSTITUTE(SUBSTITUTE(Seguimiento!$AH$21,"%",""),",","."))&lt;=1,VALUE(SUBSTITUTE(SUBSTITUTE(Seguimiento!$AH$21,"%",""),",","."))*100,VALUE(SUBSTITUTE(SUBSTITUTE(Seguimiento!$AH$21,"%",""),",","."))),"")))</f>
        <v/>
      </c>
      <c r="F227" s="15">
        <f>IF(Seguimiento!$AH$21="","",Seguimiento!$AI$21&amp;"")</f>
        <v/>
      </c>
    </row>
    <row r="228">
      <c r="A228" s="15">
        <f>IF(Seguimiento!$A$21="","",Seguimiento!$A$21)</f>
        <v/>
      </c>
      <c r="B228" s="15">
        <f>IF(Seguimiento!$A$21="","",Seguimiento!$B$21)</f>
        <v/>
      </c>
      <c r="C228" s="15">
        <f>IF(Seguimiento!$A$21="","",Seguimiento!$C$21&amp;"")</f>
        <v/>
      </c>
      <c r="D228" s="16" t="n">
        <v>46367</v>
      </c>
      <c r="E228" s="15">
        <f>IF(Seguimiento!$AJ$21="","",IF(ISNUMBER(Seguimiento!$AJ$21),IF(Seguimiento!$AJ$21&lt;=1,Seguimiento!$AJ$21*100,Seguimiento!$AJ$21),IFERROR(IF(VALUE(SUBSTITUTE(SUBSTITUTE(Seguimiento!$AJ$21,"%",""),",","."))&lt;=1,VALUE(SUBSTITUTE(SUBSTITUTE(Seguimiento!$AJ$21,"%",""),",","."))*100,VALUE(SUBSTITUTE(SUBSTITUTE(Seguimiento!$AJ$21,"%",""),",","."))),"")))</f>
        <v/>
      </c>
      <c r="F228" s="15">
        <f>IF(Seguimiento!$AJ$21="","",Seguimiento!$AK$21&amp;"")</f>
        <v/>
      </c>
    </row>
    <row r="229">
      <c r="A229" s="15">
        <f>IF(Seguimiento!$A$21="","",Seguimiento!$A$21)</f>
        <v/>
      </c>
      <c r="B229" s="15">
        <f>IF(Seguimiento!$A$21="","",Seguimiento!$B$21)</f>
        <v/>
      </c>
      <c r="C229" s="15">
        <f>IF(Seguimiento!$A$21="","",Seguimiento!$C$21&amp;"")</f>
        <v/>
      </c>
      <c r="D229" s="16" t="n">
        <v>46374</v>
      </c>
      <c r="E229" s="15">
        <f>IF(Seguimiento!$AL$21="","",IF(ISNUMBER(Seguimiento!$AL$21),IF(Seguimiento!$AL$21&lt;=1,Seguimiento!$AL$21*100,Seguimiento!$AL$21),IFERROR(IF(VALUE(SUBSTITUTE(SUBSTITUTE(Seguimiento!$AL$21,"%",""),",","."))&lt;=1,VALUE(SUBSTITUTE(SUBSTITUTE(Seguimiento!$AL$21,"%",""),",","."))*100,VALUE(SUBSTITUTE(SUBSTITUTE(Seguimiento!$AL$21,"%",""),",","."))),"")))</f>
        <v/>
      </c>
      <c r="F229" s="15">
        <f>IF(Seguimiento!$AL$21="","",Seguimiento!$AM$21&amp;"")</f>
        <v/>
      </c>
    </row>
    <row r="230">
      <c r="A230" s="15">
        <f>IF(Seguimiento!$A$22="","",Seguimiento!$A$22)</f>
        <v/>
      </c>
      <c r="B230" s="15">
        <f>IF(Seguimiento!$A$22="","",Seguimiento!$B$22)</f>
        <v/>
      </c>
      <c r="C230" s="15">
        <f>IF(Seguimiento!$A$22="","",Seguimiento!$C$22&amp;"")</f>
        <v/>
      </c>
      <c r="D230" s="16" t="n">
        <v>46297</v>
      </c>
      <c r="E230" s="15">
        <f>IF(Seguimiento!$Q$22="","",IF(ISNUMBER(Seguimiento!$Q$22),IF(Seguimiento!$Q$22&lt;=1,Seguimiento!$Q$22*100,Seguimiento!$Q$22),IFERROR(IF(VALUE(SUBSTITUTE(SUBSTITUTE(Seguimiento!$Q$22,"%",""),",","."))&lt;=1,VALUE(SUBSTITUTE(SUBSTITUTE(Seguimiento!$Q$22,"%",""),",","."))*100,VALUE(SUBSTITUTE(SUBSTITUTE(Seguimiento!$Q$22,"%",""),",","."))),"")))</f>
        <v/>
      </c>
      <c r="F230" s="15">
        <f>IF(Seguimiento!$Q$22="","","Avance inicial (matriz MINAM)")</f>
        <v/>
      </c>
    </row>
    <row r="231">
      <c r="A231" s="15">
        <f>IF(Seguimiento!$A$22="","",Seguimiento!$A$22)</f>
        <v/>
      </c>
      <c r="B231" s="15">
        <f>IF(Seguimiento!$A$22="","",Seguimiento!$B$22)</f>
        <v/>
      </c>
      <c r="C231" s="15">
        <f>IF(Seguimiento!$A$22="","",Seguimiento!$C$22&amp;"")</f>
        <v/>
      </c>
      <c r="D231" s="16" t="n">
        <v>46304</v>
      </c>
      <c r="E231" s="15">
        <f>IF(Seguimiento!$R$22="","",IF(ISNUMBER(Seguimiento!$R$22),IF(Seguimiento!$R$22&lt;=1,Seguimiento!$R$22*100,Seguimiento!$R$22),IFERROR(IF(VALUE(SUBSTITUTE(SUBSTITUTE(Seguimiento!$R$22,"%",""),",","."))&lt;=1,VALUE(SUBSTITUTE(SUBSTITUTE(Seguimiento!$R$22,"%",""),",","."))*100,VALUE(SUBSTITUTE(SUBSTITUTE(Seguimiento!$R$22,"%",""),",","."))),"")))</f>
        <v/>
      </c>
      <c r="F231" s="15">
        <f>IF(Seguimiento!$R$22="","",Seguimiento!$S$22&amp;"")</f>
        <v/>
      </c>
    </row>
    <row r="232">
      <c r="A232" s="15">
        <f>IF(Seguimiento!$A$22="","",Seguimiento!$A$22)</f>
        <v/>
      </c>
      <c r="B232" s="15">
        <f>IF(Seguimiento!$A$22="","",Seguimiento!$B$22)</f>
        <v/>
      </c>
      <c r="C232" s="15">
        <f>IF(Seguimiento!$A$22="","",Seguimiento!$C$22&amp;"")</f>
        <v/>
      </c>
      <c r="D232" s="16" t="n">
        <v>46311</v>
      </c>
      <c r="E232" s="15">
        <f>IF(Seguimiento!$T$22="","",IF(ISNUMBER(Seguimiento!$T$22),IF(Seguimiento!$T$22&lt;=1,Seguimiento!$T$22*100,Seguimiento!$T$22),IFERROR(IF(VALUE(SUBSTITUTE(SUBSTITUTE(Seguimiento!$T$22,"%",""),",","."))&lt;=1,VALUE(SUBSTITUTE(SUBSTITUTE(Seguimiento!$T$22,"%",""),",","."))*100,VALUE(SUBSTITUTE(SUBSTITUTE(Seguimiento!$T$22,"%",""),",","."))),"")))</f>
        <v/>
      </c>
      <c r="F232" s="15">
        <f>IF(Seguimiento!$T$22="","",Seguimiento!$U$22&amp;"")</f>
        <v/>
      </c>
    </row>
    <row r="233">
      <c r="A233" s="15">
        <f>IF(Seguimiento!$A$22="","",Seguimiento!$A$22)</f>
        <v/>
      </c>
      <c r="B233" s="15">
        <f>IF(Seguimiento!$A$22="","",Seguimiento!$B$22)</f>
        <v/>
      </c>
      <c r="C233" s="15">
        <f>IF(Seguimiento!$A$22="","",Seguimiento!$C$22&amp;"")</f>
        <v/>
      </c>
      <c r="D233" s="16" t="n">
        <v>46318</v>
      </c>
      <c r="E233" s="15">
        <f>IF(Seguimiento!$V$22="","",IF(ISNUMBER(Seguimiento!$V$22),IF(Seguimiento!$V$22&lt;=1,Seguimiento!$V$22*100,Seguimiento!$V$22),IFERROR(IF(VALUE(SUBSTITUTE(SUBSTITUTE(Seguimiento!$V$22,"%",""),",","."))&lt;=1,VALUE(SUBSTITUTE(SUBSTITUTE(Seguimiento!$V$22,"%",""),",","."))*100,VALUE(SUBSTITUTE(SUBSTITUTE(Seguimiento!$V$22,"%",""),",","."))),"")))</f>
        <v/>
      </c>
      <c r="F233" s="15">
        <f>IF(Seguimiento!$V$22="","",Seguimiento!$W$22&amp;"")</f>
        <v/>
      </c>
    </row>
    <row r="234">
      <c r="A234" s="15">
        <f>IF(Seguimiento!$A$22="","",Seguimiento!$A$22)</f>
        <v/>
      </c>
      <c r="B234" s="15">
        <f>IF(Seguimiento!$A$22="","",Seguimiento!$B$22)</f>
        <v/>
      </c>
      <c r="C234" s="15">
        <f>IF(Seguimiento!$A$22="","",Seguimiento!$C$22&amp;"")</f>
        <v/>
      </c>
      <c r="D234" s="16" t="n">
        <v>46325</v>
      </c>
      <c r="E234" s="15">
        <f>IF(Seguimiento!$X$22="","",IF(ISNUMBER(Seguimiento!$X$22),IF(Seguimiento!$X$22&lt;=1,Seguimiento!$X$22*100,Seguimiento!$X$22),IFERROR(IF(VALUE(SUBSTITUTE(SUBSTITUTE(Seguimiento!$X$22,"%",""),",","."))&lt;=1,VALUE(SUBSTITUTE(SUBSTITUTE(Seguimiento!$X$22,"%",""),",","."))*100,VALUE(SUBSTITUTE(SUBSTITUTE(Seguimiento!$X$22,"%",""),",","."))),"")))</f>
        <v/>
      </c>
      <c r="F234" s="15">
        <f>IF(Seguimiento!$X$22="","",Seguimiento!$Y$22&amp;"")</f>
        <v/>
      </c>
    </row>
    <row r="235">
      <c r="A235" s="15">
        <f>IF(Seguimiento!$A$22="","",Seguimiento!$A$22)</f>
        <v/>
      </c>
      <c r="B235" s="15">
        <f>IF(Seguimiento!$A$22="","",Seguimiento!$B$22)</f>
        <v/>
      </c>
      <c r="C235" s="15">
        <f>IF(Seguimiento!$A$22="","",Seguimiento!$C$22&amp;"")</f>
        <v/>
      </c>
      <c r="D235" s="16" t="n">
        <v>46332</v>
      </c>
      <c r="E235" s="15">
        <f>IF(Seguimiento!$Z$22="","",IF(ISNUMBER(Seguimiento!$Z$22),IF(Seguimiento!$Z$22&lt;=1,Seguimiento!$Z$22*100,Seguimiento!$Z$22),IFERROR(IF(VALUE(SUBSTITUTE(SUBSTITUTE(Seguimiento!$Z$22,"%",""),",","."))&lt;=1,VALUE(SUBSTITUTE(SUBSTITUTE(Seguimiento!$Z$22,"%",""),",","."))*100,VALUE(SUBSTITUTE(SUBSTITUTE(Seguimiento!$Z$22,"%",""),",","."))),"")))</f>
        <v/>
      </c>
      <c r="F235" s="15">
        <f>IF(Seguimiento!$Z$22="","",Seguimiento!$AA$22&amp;"")</f>
        <v/>
      </c>
    </row>
    <row r="236">
      <c r="A236" s="15">
        <f>IF(Seguimiento!$A$22="","",Seguimiento!$A$22)</f>
        <v/>
      </c>
      <c r="B236" s="15">
        <f>IF(Seguimiento!$A$22="","",Seguimiento!$B$22)</f>
        <v/>
      </c>
      <c r="C236" s="15">
        <f>IF(Seguimiento!$A$22="","",Seguimiento!$C$22&amp;"")</f>
        <v/>
      </c>
      <c r="D236" s="16" t="n">
        <v>46339</v>
      </c>
      <c r="E236" s="15">
        <f>IF(Seguimiento!$AB$22="","",IF(ISNUMBER(Seguimiento!$AB$22),IF(Seguimiento!$AB$22&lt;=1,Seguimiento!$AB$22*100,Seguimiento!$AB$22),IFERROR(IF(VALUE(SUBSTITUTE(SUBSTITUTE(Seguimiento!$AB$22,"%",""),",","."))&lt;=1,VALUE(SUBSTITUTE(SUBSTITUTE(Seguimiento!$AB$22,"%",""),",","."))*100,VALUE(SUBSTITUTE(SUBSTITUTE(Seguimiento!$AB$22,"%",""),",","."))),"")))</f>
        <v/>
      </c>
      <c r="F236" s="15">
        <f>IF(Seguimiento!$AB$22="","",Seguimiento!$AC$22&amp;"")</f>
        <v/>
      </c>
    </row>
    <row r="237">
      <c r="A237" s="15">
        <f>IF(Seguimiento!$A$22="","",Seguimiento!$A$22)</f>
        <v/>
      </c>
      <c r="B237" s="15">
        <f>IF(Seguimiento!$A$22="","",Seguimiento!$B$22)</f>
        <v/>
      </c>
      <c r="C237" s="15">
        <f>IF(Seguimiento!$A$22="","",Seguimiento!$C$22&amp;"")</f>
        <v/>
      </c>
      <c r="D237" s="16" t="n">
        <v>46346</v>
      </c>
      <c r="E237" s="15">
        <f>IF(Seguimiento!$AD$22="","",IF(ISNUMBER(Seguimiento!$AD$22),IF(Seguimiento!$AD$22&lt;=1,Seguimiento!$AD$22*100,Seguimiento!$AD$22),IFERROR(IF(VALUE(SUBSTITUTE(SUBSTITUTE(Seguimiento!$AD$22,"%",""),",","."))&lt;=1,VALUE(SUBSTITUTE(SUBSTITUTE(Seguimiento!$AD$22,"%",""),",","."))*100,VALUE(SUBSTITUTE(SUBSTITUTE(Seguimiento!$AD$22,"%",""),",","."))),"")))</f>
        <v/>
      </c>
      <c r="F237" s="15">
        <f>IF(Seguimiento!$AD$22="","",Seguimiento!$AE$22&amp;"")</f>
        <v/>
      </c>
    </row>
    <row r="238">
      <c r="A238" s="15">
        <f>IF(Seguimiento!$A$22="","",Seguimiento!$A$22)</f>
        <v/>
      </c>
      <c r="B238" s="15">
        <f>IF(Seguimiento!$A$22="","",Seguimiento!$B$22)</f>
        <v/>
      </c>
      <c r="C238" s="15">
        <f>IF(Seguimiento!$A$22="","",Seguimiento!$C$22&amp;"")</f>
        <v/>
      </c>
      <c r="D238" s="16" t="n">
        <v>46353</v>
      </c>
      <c r="E238" s="15">
        <f>IF(Seguimiento!$AF$22="","",IF(ISNUMBER(Seguimiento!$AF$22),IF(Seguimiento!$AF$22&lt;=1,Seguimiento!$AF$22*100,Seguimiento!$AF$22),IFERROR(IF(VALUE(SUBSTITUTE(SUBSTITUTE(Seguimiento!$AF$22,"%",""),",","."))&lt;=1,VALUE(SUBSTITUTE(SUBSTITUTE(Seguimiento!$AF$22,"%",""),",","."))*100,VALUE(SUBSTITUTE(SUBSTITUTE(Seguimiento!$AF$22,"%",""),",","."))),"")))</f>
        <v/>
      </c>
      <c r="F238" s="15">
        <f>IF(Seguimiento!$AF$22="","",Seguimiento!$AG$22&amp;"")</f>
        <v/>
      </c>
    </row>
    <row r="239">
      <c r="A239" s="15">
        <f>IF(Seguimiento!$A$22="","",Seguimiento!$A$22)</f>
        <v/>
      </c>
      <c r="B239" s="15">
        <f>IF(Seguimiento!$A$22="","",Seguimiento!$B$22)</f>
        <v/>
      </c>
      <c r="C239" s="15">
        <f>IF(Seguimiento!$A$22="","",Seguimiento!$C$22&amp;"")</f>
        <v/>
      </c>
      <c r="D239" s="16" t="n">
        <v>46360</v>
      </c>
      <c r="E239" s="15">
        <f>IF(Seguimiento!$AH$22="","",IF(ISNUMBER(Seguimiento!$AH$22),IF(Seguimiento!$AH$22&lt;=1,Seguimiento!$AH$22*100,Seguimiento!$AH$22),IFERROR(IF(VALUE(SUBSTITUTE(SUBSTITUTE(Seguimiento!$AH$22,"%",""),",","."))&lt;=1,VALUE(SUBSTITUTE(SUBSTITUTE(Seguimiento!$AH$22,"%",""),",","."))*100,VALUE(SUBSTITUTE(SUBSTITUTE(Seguimiento!$AH$22,"%",""),",","."))),"")))</f>
        <v/>
      </c>
      <c r="F239" s="15">
        <f>IF(Seguimiento!$AH$22="","",Seguimiento!$AI$22&amp;"")</f>
        <v/>
      </c>
    </row>
    <row r="240">
      <c r="A240" s="15">
        <f>IF(Seguimiento!$A$22="","",Seguimiento!$A$22)</f>
        <v/>
      </c>
      <c r="B240" s="15">
        <f>IF(Seguimiento!$A$22="","",Seguimiento!$B$22)</f>
        <v/>
      </c>
      <c r="C240" s="15">
        <f>IF(Seguimiento!$A$22="","",Seguimiento!$C$22&amp;"")</f>
        <v/>
      </c>
      <c r="D240" s="16" t="n">
        <v>46367</v>
      </c>
      <c r="E240" s="15">
        <f>IF(Seguimiento!$AJ$22="","",IF(ISNUMBER(Seguimiento!$AJ$22),IF(Seguimiento!$AJ$22&lt;=1,Seguimiento!$AJ$22*100,Seguimiento!$AJ$22),IFERROR(IF(VALUE(SUBSTITUTE(SUBSTITUTE(Seguimiento!$AJ$22,"%",""),",","."))&lt;=1,VALUE(SUBSTITUTE(SUBSTITUTE(Seguimiento!$AJ$22,"%",""),",","."))*100,VALUE(SUBSTITUTE(SUBSTITUTE(Seguimiento!$AJ$22,"%",""),",","."))),"")))</f>
        <v/>
      </c>
      <c r="F240" s="15">
        <f>IF(Seguimiento!$AJ$22="","",Seguimiento!$AK$22&amp;"")</f>
        <v/>
      </c>
    </row>
    <row r="241">
      <c r="A241" s="15">
        <f>IF(Seguimiento!$A$22="","",Seguimiento!$A$22)</f>
        <v/>
      </c>
      <c r="B241" s="15">
        <f>IF(Seguimiento!$A$22="","",Seguimiento!$B$22)</f>
        <v/>
      </c>
      <c r="C241" s="15">
        <f>IF(Seguimiento!$A$22="","",Seguimiento!$C$22&amp;"")</f>
        <v/>
      </c>
      <c r="D241" s="16" t="n">
        <v>46374</v>
      </c>
      <c r="E241" s="15">
        <f>IF(Seguimiento!$AL$22="","",IF(ISNUMBER(Seguimiento!$AL$22),IF(Seguimiento!$AL$22&lt;=1,Seguimiento!$AL$22*100,Seguimiento!$AL$22),IFERROR(IF(VALUE(SUBSTITUTE(SUBSTITUTE(Seguimiento!$AL$22,"%",""),",","."))&lt;=1,VALUE(SUBSTITUTE(SUBSTITUTE(Seguimiento!$AL$22,"%",""),",","."))*100,VALUE(SUBSTITUTE(SUBSTITUTE(Seguimiento!$AL$22,"%",""),",","."))),"")))</f>
        <v/>
      </c>
      <c r="F241" s="15">
        <f>IF(Seguimiento!$AL$22="","",Seguimiento!$AM$22&amp;"")</f>
        <v/>
      </c>
    </row>
    <row r="242">
      <c r="A242" s="15">
        <f>IF(Seguimiento!$A$23="","",Seguimiento!$A$23)</f>
        <v/>
      </c>
      <c r="B242" s="15">
        <f>IF(Seguimiento!$A$23="","",Seguimiento!$B$23)</f>
        <v/>
      </c>
      <c r="C242" s="15">
        <f>IF(Seguimiento!$A$23="","",Seguimiento!$C$23&amp;"")</f>
        <v/>
      </c>
      <c r="D242" s="16" t="n">
        <v>46297</v>
      </c>
      <c r="E242" s="15">
        <f>IF(Seguimiento!$Q$23="","",IF(ISNUMBER(Seguimiento!$Q$23),IF(Seguimiento!$Q$23&lt;=1,Seguimiento!$Q$23*100,Seguimiento!$Q$23),IFERROR(IF(VALUE(SUBSTITUTE(SUBSTITUTE(Seguimiento!$Q$23,"%",""),",","."))&lt;=1,VALUE(SUBSTITUTE(SUBSTITUTE(Seguimiento!$Q$23,"%",""),",","."))*100,VALUE(SUBSTITUTE(SUBSTITUTE(Seguimiento!$Q$23,"%",""),",","."))),"")))</f>
        <v/>
      </c>
      <c r="F242" s="15">
        <f>IF(Seguimiento!$Q$23="","","Avance inicial (matriz MINAM)")</f>
        <v/>
      </c>
    </row>
    <row r="243">
      <c r="A243" s="15">
        <f>IF(Seguimiento!$A$23="","",Seguimiento!$A$23)</f>
        <v/>
      </c>
      <c r="B243" s="15">
        <f>IF(Seguimiento!$A$23="","",Seguimiento!$B$23)</f>
        <v/>
      </c>
      <c r="C243" s="15">
        <f>IF(Seguimiento!$A$23="","",Seguimiento!$C$23&amp;"")</f>
        <v/>
      </c>
      <c r="D243" s="16" t="n">
        <v>46304</v>
      </c>
      <c r="E243" s="15">
        <f>IF(Seguimiento!$R$23="","",IF(ISNUMBER(Seguimiento!$R$23),IF(Seguimiento!$R$23&lt;=1,Seguimiento!$R$23*100,Seguimiento!$R$23),IFERROR(IF(VALUE(SUBSTITUTE(SUBSTITUTE(Seguimiento!$R$23,"%",""),",","."))&lt;=1,VALUE(SUBSTITUTE(SUBSTITUTE(Seguimiento!$R$23,"%",""),",","."))*100,VALUE(SUBSTITUTE(SUBSTITUTE(Seguimiento!$R$23,"%",""),",","."))),"")))</f>
        <v/>
      </c>
      <c r="F243" s="15">
        <f>IF(Seguimiento!$R$23="","",Seguimiento!$S$23&amp;"")</f>
        <v/>
      </c>
    </row>
    <row r="244">
      <c r="A244" s="15">
        <f>IF(Seguimiento!$A$23="","",Seguimiento!$A$23)</f>
        <v/>
      </c>
      <c r="B244" s="15">
        <f>IF(Seguimiento!$A$23="","",Seguimiento!$B$23)</f>
        <v/>
      </c>
      <c r="C244" s="15">
        <f>IF(Seguimiento!$A$23="","",Seguimiento!$C$23&amp;"")</f>
        <v/>
      </c>
      <c r="D244" s="16" t="n">
        <v>46311</v>
      </c>
      <c r="E244" s="15">
        <f>IF(Seguimiento!$T$23="","",IF(ISNUMBER(Seguimiento!$T$23),IF(Seguimiento!$T$23&lt;=1,Seguimiento!$T$23*100,Seguimiento!$T$23),IFERROR(IF(VALUE(SUBSTITUTE(SUBSTITUTE(Seguimiento!$T$23,"%",""),",","."))&lt;=1,VALUE(SUBSTITUTE(SUBSTITUTE(Seguimiento!$T$23,"%",""),",","."))*100,VALUE(SUBSTITUTE(SUBSTITUTE(Seguimiento!$T$23,"%",""),",","."))),"")))</f>
        <v/>
      </c>
      <c r="F244" s="15">
        <f>IF(Seguimiento!$T$23="","",Seguimiento!$U$23&amp;"")</f>
        <v/>
      </c>
    </row>
    <row r="245">
      <c r="A245" s="15">
        <f>IF(Seguimiento!$A$23="","",Seguimiento!$A$23)</f>
        <v/>
      </c>
      <c r="B245" s="15">
        <f>IF(Seguimiento!$A$23="","",Seguimiento!$B$23)</f>
        <v/>
      </c>
      <c r="C245" s="15">
        <f>IF(Seguimiento!$A$23="","",Seguimiento!$C$23&amp;"")</f>
        <v/>
      </c>
      <c r="D245" s="16" t="n">
        <v>46318</v>
      </c>
      <c r="E245" s="15">
        <f>IF(Seguimiento!$V$23="","",IF(ISNUMBER(Seguimiento!$V$23),IF(Seguimiento!$V$23&lt;=1,Seguimiento!$V$23*100,Seguimiento!$V$23),IFERROR(IF(VALUE(SUBSTITUTE(SUBSTITUTE(Seguimiento!$V$23,"%",""),",","."))&lt;=1,VALUE(SUBSTITUTE(SUBSTITUTE(Seguimiento!$V$23,"%",""),",","."))*100,VALUE(SUBSTITUTE(SUBSTITUTE(Seguimiento!$V$23,"%",""),",","."))),"")))</f>
        <v/>
      </c>
      <c r="F245" s="15">
        <f>IF(Seguimiento!$V$23="","",Seguimiento!$W$23&amp;"")</f>
        <v/>
      </c>
    </row>
    <row r="246">
      <c r="A246" s="15">
        <f>IF(Seguimiento!$A$23="","",Seguimiento!$A$23)</f>
        <v/>
      </c>
      <c r="B246" s="15">
        <f>IF(Seguimiento!$A$23="","",Seguimiento!$B$23)</f>
        <v/>
      </c>
      <c r="C246" s="15">
        <f>IF(Seguimiento!$A$23="","",Seguimiento!$C$23&amp;"")</f>
        <v/>
      </c>
      <c r="D246" s="16" t="n">
        <v>46325</v>
      </c>
      <c r="E246" s="15">
        <f>IF(Seguimiento!$X$23="","",IF(ISNUMBER(Seguimiento!$X$23),IF(Seguimiento!$X$23&lt;=1,Seguimiento!$X$23*100,Seguimiento!$X$23),IFERROR(IF(VALUE(SUBSTITUTE(SUBSTITUTE(Seguimiento!$X$23,"%",""),",","."))&lt;=1,VALUE(SUBSTITUTE(SUBSTITUTE(Seguimiento!$X$23,"%",""),",","."))*100,VALUE(SUBSTITUTE(SUBSTITUTE(Seguimiento!$X$23,"%",""),",","."))),"")))</f>
        <v/>
      </c>
      <c r="F246" s="15">
        <f>IF(Seguimiento!$X$23="","",Seguimiento!$Y$23&amp;"")</f>
        <v/>
      </c>
    </row>
    <row r="247">
      <c r="A247" s="15">
        <f>IF(Seguimiento!$A$23="","",Seguimiento!$A$23)</f>
        <v/>
      </c>
      <c r="B247" s="15">
        <f>IF(Seguimiento!$A$23="","",Seguimiento!$B$23)</f>
        <v/>
      </c>
      <c r="C247" s="15">
        <f>IF(Seguimiento!$A$23="","",Seguimiento!$C$23&amp;"")</f>
        <v/>
      </c>
      <c r="D247" s="16" t="n">
        <v>46332</v>
      </c>
      <c r="E247" s="15">
        <f>IF(Seguimiento!$Z$23="","",IF(ISNUMBER(Seguimiento!$Z$23),IF(Seguimiento!$Z$23&lt;=1,Seguimiento!$Z$23*100,Seguimiento!$Z$23),IFERROR(IF(VALUE(SUBSTITUTE(SUBSTITUTE(Seguimiento!$Z$23,"%",""),",","."))&lt;=1,VALUE(SUBSTITUTE(SUBSTITUTE(Seguimiento!$Z$23,"%",""),",","."))*100,VALUE(SUBSTITUTE(SUBSTITUTE(Seguimiento!$Z$23,"%",""),",","."))),"")))</f>
        <v/>
      </c>
      <c r="F247" s="15">
        <f>IF(Seguimiento!$Z$23="","",Seguimiento!$AA$23&amp;"")</f>
        <v/>
      </c>
    </row>
    <row r="248">
      <c r="A248" s="15">
        <f>IF(Seguimiento!$A$23="","",Seguimiento!$A$23)</f>
        <v/>
      </c>
      <c r="B248" s="15">
        <f>IF(Seguimiento!$A$23="","",Seguimiento!$B$23)</f>
        <v/>
      </c>
      <c r="C248" s="15">
        <f>IF(Seguimiento!$A$23="","",Seguimiento!$C$23&amp;"")</f>
        <v/>
      </c>
      <c r="D248" s="16" t="n">
        <v>46339</v>
      </c>
      <c r="E248" s="15">
        <f>IF(Seguimiento!$AB$23="","",IF(ISNUMBER(Seguimiento!$AB$23),IF(Seguimiento!$AB$23&lt;=1,Seguimiento!$AB$23*100,Seguimiento!$AB$23),IFERROR(IF(VALUE(SUBSTITUTE(SUBSTITUTE(Seguimiento!$AB$23,"%",""),",","."))&lt;=1,VALUE(SUBSTITUTE(SUBSTITUTE(Seguimiento!$AB$23,"%",""),",","."))*100,VALUE(SUBSTITUTE(SUBSTITUTE(Seguimiento!$AB$23,"%",""),",","."))),"")))</f>
        <v/>
      </c>
      <c r="F248" s="15">
        <f>IF(Seguimiento!$AB$23="","",Seguimiento!$AC$23&amp;"")</f>
        <v/>
      </c>
    </row>
    <row r="249">
      <c r="A249" s="15">
        <f>IF(Seguimiento!$A$23="","",Seguimiento!$A$23)</f>
        <v/>
      </c>
      <c r="B249" s="15">
        <f>IF(Seguimiento!$A$23="","",Seguimiento!$B$23)</f>
        <v/>
      </c>
      <c r="C249" s="15">
        <f>IF(Seguimiento!$A$23="","",Seguimiento!$C$23&amp;"")</f>
        <v/>
      </c>
      <c r="D249" s="16" t="n">
        <v>46346</v>
      </c>
      <c r="E249" s="15">
        <f>IF(Seguimiento!$AD$23="","",IF(ISNUMBER(Seguimiento!$AD$23),IF(Seguimiento!$AD$23&lt;=1,Seguimiento!$AD$23*100,Seguimiento!$AD$23),IFERROR(IF(VALUE(SUBSTITUTE(SUBSTITUTE(Seguimiento!$AD$23,"%",""),",","."))&lt;=1,VALUE(SUBSTITUTE(SUBSTITUTE(Seguimiento!$AD$23,"%",""),",","."))*100,VALUE(SUBSTITUTE(SUBSTITUTE(Seguimiento!$AD$23,"%",""),",","."))),"")))</f>
        <v/>
      </c>
      <c r="F249" s="15">
        <f>IF(Seguimiento!$AD$23="","",Seguimiento!$AE$23&amp;"")</f>
        <v/>
      </c>
    </row>
    <row r="250">
      <c r="A250" s="15">
        <f>IF(Seguimiento!$A$23="","",Seguimiento!$A$23)</f>
        <v/>
      </c>
      <c r="B250" s="15">
        <f>IF(Seguimiento!$A$23="","",Seguimiento!$B$23)</f>
        <v/>
      </c>
      <c r="C250" s="15">
        <f>IF(Seguimiento!$A$23="","",Seguimiento!$C$23&amp;"")</f>
        <v/>
      </c>
      <c r="D250" s="16" t="n">
        <v>46353</v>
      </c>
      <c r="E250" s="15">
        <f>IF(Seguimiento!$AF$23="","",IF(ISNUMBER(Seguimiento!$AF$23),IF(Seguimiento!$AF$23&lt;=1,Seguimiento!$AF$23*100,Seguimiento!$AF$23),IFERROR(IF(VALUE(SUBSTITUTE(SUBSTITUTE(Seguimiento!$AF$23,"%",""),",","."))&lt;=1,VALUE(SUBSTITUTE(SUBSTITUTE(Seguimiento!$AF$23,"%",""),",","."))*100,VALUE(SUBSTITUTE(SUBSTITUTE(Seguimiento!$AF$23,"%",""),",","."))),"")))</f>
        <v/>
      </c>
      <c r="F250" s="15">
        <f>IF(Seguimiento!$AF$23="","",Seguimiento!$AG$23&amp;"")</f>
        <v/>
      </c>
    </row>
    <row r="251">
      <c r="A251" s="15">
        <f>IF(Seguimiento!$A$23="","",Seguimiento!$A$23)</f>
        <v/>
      </c>
      <c r="B251" s="15">
        <f>IF(Seguimiento!$A$23="","",Seguimiento!$B$23)</f>
        <v/>
      </c>
      <c r="C251" s="15">
        <f>IF(Seguimiento!$A$23="","",Seguimiento!$C$23&amp;"")</f>
        <v/>
      </c>
      <c r="D251" s="16" t="n">
        <v>46360</v>
      </c>
      <c r="E251" s="15">
        <f>IF(Seguimiento!$AH$23="","",IF(ISNUMBER(Seguimiento!$AH$23),IF(Seguimiento!$AH$23&lt;=1,Seguimiento!$AH$23*100,Seguimiento!$AH$23),IFERROR(IF(VALUE(SUBSTITUTE(SUBSTITUTE(Seguimiento!$AH$23,"%",""),",","."))&lt;=1,VALUE(SUBSTITUTE(SUBSTITUTE(Seguimiento!$AH$23,"%",""),",","."))*100,VALUE(SUBSTITUTE(SUBSTITUTE(Seguimiento!$AH$23,"%",""),",","."))),"")))</f>
        <v/>
      </c>
      <c r="F251" s="15">
        <f>IF(Seguimiento!$AH$23="","",Seguimiento!$AI$23&amp;"")</f>
        <v/>
      </c>
    </row>
    <row r="252">
      <c r="A252" s="15">
        <f>IF(Seguimiento!$A$23="","",Seguimiento!$A$23)</f>
        <v/>
      </c>
      <c r="B252" s="15">
        <f>IF(Seguimiento!$A$23="","",Seguimiento!$B$23)</f>
        <v/>
      </c>
      <c r="C252" s="15">
        <f>IF(Seguimiento!$A$23="","",Seguimiento!$C$23&amp;"")</f>
        <v/>
      </c>
      <c r="D252" s="16" t="n">
        <v>46367</v>
      </c>
      <c r="E252" s="15">
        <f>IF(Seguimiento!$AJ$23="","",IF(ISNUMBER(Seguimiento!$AJ$23),IF(Seguimiento!$AJ$23&lt;=1,Seguimiento!$AJ$23*100,Seguimiento!$AJ$23),IFERROR(IF(VALUE(SUBSTITUTE(SUBSTITUTE(Seguimiento!$AJ$23,"%",""),",","."))&lt;=1,VALUE(SUBSTITUTE(SUBSTITUTE(Seguimiento!$AJ$23,"%",""),",","."))*100,VALUE(SUBSTITUTE(SUBSTITUTE(Seguimiento!$AJ$23,"%",""),",","."))),"")))</f>
        <v/>
      </c>
      <c r="F252" s="15">
        <f>IF(Seguimiento!$AJ$23="","",Seguimiento!$AK$23&amp;"")</f>
        <v/>
      </c>
    </row>
    <row r="253">
      <c r="A253" s="15">
        <f>IF(Seguimiento!$A$23="","",Seguimiento!$A$23)</f>
        <v/>
      </c>
      <c r="B253" s="15">
        <f>IF(Seguimiento!$A$23="","",Seguimiento!$B$23)</f>
        <v/>
      </c>
      <c r="C253" s="15">
        <f>IF(Seguimiento!$A$23="","",Seguimiento!$C$23&amp;"")</f>
        <v/>
      </c>
      <c r="D253" s="16" t="n">
        <v>46374</v>
      </c>
      <c r="E253" s="15">
        <f>IF(Seguimiento!$AL$23="","",IF(ISNUMBER(Seguimiento!$AL$23),IF(Seguimiento!$AL$23&lt;=1,Seguimiento!$AL$23*100,Seguimiento!$AL$23),IFERROR(IF(VALUE(SUBSTITUTE(SUBSTITUTE(Seguimiento!$AL$23,"%",""),",","."))&lt;=1,VALUE(SUBSTITUTE(SUBSTITUTE(Seguimiento!$AL$23,"%",""),",","."))*100,VALUE(SUBSTITUTE(SUBSTITUTE(Seguimiento!$AL$23,"%",""),",","."))),"")))</f>
        <v/>
      </c>
      <c r="F253" s="15">
        <f>IF(Seguimiento!$AL$23="","",Seguimiento!$AM$23&amp;"")</f>
        <v/>
      </c>
    </row>
    <row r="254">
      <c r="A254" s="15">
        <f>IF(Seguimiento!$A$24="","",Seguimiento!$A$24)</f>
        <v/>
      </c>
      <c r="B254" s="15">
        <f>IF(Seguimiento!$A$24="","",Seguimiento!$B$24)</f>
        <v/>
      </c>
      <c r="C254" s="15">
        <f>IF(Seguimiento!$A$24="","",Seguimiento!$C$24&amp;"")</f>
        <v/>
      </c>
      <c r="D254" s="16" t="n">
        <v>46297</v>
      </c>
      <c r="E254" s="15">
        <f>IF(Seguimiento!$Q$24="","",IF(ISNUMBER(Seguimiento!$Q$24),IF(Seguimiento!$Q$24&lt;=1,Seguimiento!$Q$24*100,Seguimiento!$Q$24),IFERROR(IF(VALUE(SUBSTITUTE(SUBSTITUTE(Seguimiento!$Q$24,"%",""),",","."))&lt;=1,VALUE(SUBSTITUTE(SUBSTITUTE(Seguimiento!$Q$24,"%",""),",","."))*100,VALUE(SUBSTITUTE(SUBSTITUTE(Seguimiento!$Q$24,"%",""),",","."))),"")))</f>
        <v/>
      </c>
      <c r="F254" s="15">
        <f>IF(Seguimiento!$Q$24="","","Avance inicial (matriz MINAM)")</f>
        <v/>
      </c>
    </row>
    <row r="255">
      <c r="A255" s="15">
        <f>IF(Seguimiento!$A$24="","",Seguimiento!$A$24)</f>
        <v/>
      </c>
      <c r="B255" s="15">
        <f>IF(Seguimiento!$A$24="","",Seguimiento!$B$24)</f>
        <v/>
      </c>
      <c r="C255" s="15">
        <f>IF(Seguimiento!$A$24="","",Seguimiento!$C$24&amp;"")</f>
        <v/>
      </c>
      <c r="D255" s="16" t="n">
        <v>46304</v>
      </c>
      <c r="E255" s="15">
        <f>IF(Seguimiento!$R$24="","",IF(ISNUMBER(Seguimiento!$R$24),IF(Seguimiento!$R$24&lt;=1,Seguimiento!$R$24*100,Seguimiento!$R$24),IFERROR(IF(VALUE(SUBSTITUTE(SUBSTITUTE(Seguimiento!$R$24,"%",""),",","."))&lt;=1,VALUE(SUBSTITUTE(SUBSTITUTE(Seguimiento!$R$24,"%",""),",","."))*100,VALUE(SUBSTITUTE(SUBSTITUTE(Seguimiento!$R$24,"%",""),",","."))),"")))</f>
        <v/>
      </c>
      <c r="F255" s="15">
        <f>IF(Seguimiento!$R$24="","",Seguimiento!$S$24&amp;"")</f>
        <v/>
      </c>
    </row>
    <row r="256">
      <c r="A256" s="15">
        <f>IF(Seguimiento!$A$24="","",Seguimiento!$A$24)</f>
        <v/>
      </c>
      <c r="B256" s="15">
        <f>IF(Seguimiento!$A$24="","",Seguimiento!$B$24)</f>
        <v/>
      </c>
      <c r="C256" s="15">
        <f>IF(Seguimiento!$A$24="","",Seguimiento!$C$24&amp;"")</f>
        <v/>
      </c>
      <c r="D256" s="16" t="n">
        <v>46311</v>
      </c>
      <c r="E256" s="15">
        <f>IF(Seguimiento!$T$24="","",IF(ISNUMBER(Seguimiento!$T$24),IF(Seguimiento!$T$24&lt;=1,Seguimiento!$T$24*100,Seguimiento!$T$24),IFERROR(IF(VALUE(SUBSTITUTE(SUBSTITUTE(Seguimiento!$T$24,"%",""),",","."))&lt;=1,VALUE(SUBSTITUTE(SUBSTITUTE(Seguimiento!$T$24,"%",""),",","."))*100,VALUE(SUBSTITUTE(SUBSTITUTE(Seguimiento!$T$24,"%",""),",","."))),"")))</f>
        <v/>
      </c>
      <c r="F256" s="15">
        <f>IF(Seguimiento!$T$24="","",Seguimiento!$U$24&amp;"")</f>
        <v/>
      </c>
    </row>
    <row r="257">
      <c r="A257" s="15">
        <f>IF(Seguimiento!$A$24="","",Seguimiento!$A$24)</f>
        <v/>
      </c>
      <c r="B257" s="15">
        <f>IF(Seguimiento!$A$24="","",Seguimiento!$B$24)</f>
        <v/>
      </c>
      <c r="C257" s="15">
        <f>IF(Seguimiento!$A$24="","",Seguimiento!$C$24&amp;"")</f>
        <v/>
      </c>
      <c r="D257" s="16" t="n">
        <v>46318</v>
      </c>
      <c r="E257" s="15">
        <f>IF(Seguimiento!$V$24="","",IF(ISNUMBER(Seguimiento!$V$24),IF(Seguimiento!$V$24&lt;=1,Seguimiento!$V$24*100,Seguimiento!$V$24),IFERROR(IF(VALUE(SUBSTITUTE(SUBSTITUTE(Seguimiento!$V$24,"%",""),",","."))&lt;=1,VALUE(SUBSTITUTE(SUBSTITUTE(Seguimiento!$V$24,"%",""),",","."))*100,VALUE(SUBSTITUTE(SUBSTITUTE(Seguimiento!$V$24,"%",""),",","."))),"")))</f>
        <v/>
      </c>
      <c r="F257" s="15">
        <f>IF(Seguimiento!$V$24="","",Seguimiento!$W$24&amp;"")</f>
        <v/>
      </c>
    </row>
    <row r="258">
      <c r="A258" s="15">
        <f>IF(Seguimiento!$A$24="","",Seguimiento!$A$24)</f>
        <v/>
      </c>
      <c r="B258" s="15">
        <f>IF(Seguimiento!$A$24="","",Seguimiento!$B$24)</f>
        <v/>
      </c>
      <c r="C258" s="15">
        <f>IF(Seguimiento!$A$24="","",Seguimiento!$C$24&amp;"")</f>
        <v/>
      </c>
      <c r="D258" s="16" t="n">
        <v>46325</v>
      </c>
      <c r="E258" s="15">
        <f>IF(Seguimiento!$X$24="","",IF(ISNUMBER(Seguimiento!$X$24),IF(Seguimiento!$X$24&lt;=1,Seguimiento!$X$24*100,Seguimiento!$X$24),IFERROR(IF(VALUE(SUBSTITUTE(SUBSTITUTE(Seguimiento!$X$24,"%",""),",","."))&lt;=1,VALUE(SUBSTITUTE(SUBSTITUTE(Seguimiento!$X$24,"%",""),",","."))*100,VALUE(SUBSTITUTE(SUBSTITUTE(Seguimiento!$X$24,"%",""),",","."))),"")))</f>
        <v/>
      </c>
      <c r="F258" s="15">
        <f>IF(Seguimiento!$X$24="","",Seguimiento!$Y$24&amp;"")</f>
        <v/>
      </c>
    </row>
    <row r="259">
      <c r="A259" s="15">
        <f>IF(Seguimiento!$A$24="","",Seguimiento!$A$24)</f>
        <v/>
      </c>
      <c r="B259" s="15">
        <f>IF(Seguimiento!$A$24="","",Seguimiento!$B$24)</f>
        <v/>
      </c>
      <c r="C259" s="15">
        <f>IF(Seguimiento!$A$24="","",Seguimiento!$C$24&amp;"")</f>
        <v/>
      </c>
      <c r="D259" s="16" t="n">
        <v>46332</v>
      </c>
      <c r="E259" s="15">
        <f>IF(Seguimiento!$Z$24="","",IF(ISNUMBER(Seguimiento!$Z$24),IF(Seguimiento!$Z$24&lt;=1,Seguimiento!$Z$24*100,Seguimiento!$Z$24),IFERROR(IF(VALUE(SUBSTITUTE(SUBSTITUTE(Seguimiento!$Z$24,"%",""),",","."))&lt;=1,VALUE(SUBSTITUTE(SUBSTITUTE(Seguimiento!$Z$24,"%",""),",","."))*100,VALUE(SUBSTITUTE(SUBSTITUTE(Seguimiento!$Z$24,"%",""),",","."))),"")))</f>
        <v/>
      </c>
      <c r="F259" s="15">
        <f>IF(Seguimiento!$Z$24="","",Seguimiento!$AA$24&amp;"")</f>
        <v/>
      </c>
    </row>
    <row r="260">
      <c r="A260" s="15">
        <f>IF(Seguimiento!$A$24="","",Seguimiento!$A$24)</f>
        <v/>
      </c>
      <c r="B260" s="15">
        <f>IF(Seguimiento!$A$24="","",Seguimiento!$B$24)</f>
        <v/>
      </c>
      <c r="C260" s="15">
        <f>IF(Seguimiento!$A$24="","",Seguimiento!$C$24&amp;"")</f>
        <v/>
      </c>
      <c r="D260" s="16" t="n">
        <v>46339</v>
      </c>
      <c r="E260" s="15">
        <f>IF(Seguimiento!$AB$24="","",IF(ISNUMBER(Seguimiento!$AB$24),IF(Seguimiento!$AB$24&lt;=1,Seguimiento!$AB$24*100,Seguimiento!$AB$24),IFERROR(IF(VALUE(SUBSTITUTE(SUBSTITUTE(Seguimiento!$AB$24,"%",""),",","."))&lt;=1,VALUE(SUBSTITUTE(SUBSTITUTE(Seguimiento!$AB$24,"%",""),",","."))*100,VALUE(SUBSTITUTE(SUBSTITUTE(Seguimiento!$AB$24,"%",""),",","."))),"")))</f>
        <v/>
      </c>
      <c r="F260" s="15">
        <f>IF(Seguimiento!$AB$24="","",Seguimiento!$AC$24&amp;"")</f>
        <v/>
      </c>
    </row>
    <row r="261">
      <c r="A261" s="15">
        <f>IF(Seguimiento!$A$24="","",Seguimiento!$A$24)</f>
        <v/>
      </c>
      <c r="B261" s="15">
        <f>IF(Seguimiento!$A$24="","",Seguimiento!$B$24)</f>
        <v/>
      </c>
      <c r="C261" s="15">
        <f>IF(Seguimiento!$A$24="","",Seguimiento!$C$24&amp;"")</f>
        <v/>
      </c>
      <c r="D261" s="16" t="n">
        <v>46346</v>
      </c>
      <c r="E261" s="15">
        <f>IF(Seguimiento!$AD$24="","",IF(ISNUMBER(Seguimiento!$AD$24),IF(Seguimiento!$AD$24&lt;=1,Seguimiento!$AD$24*100,Seguimiento!$AD$24),IFERROR(IF(VALUE(SUBSTITUTE(SUBSTITUTE(Seguimiento!$AD$24,"%",""),",","."))&lt;=1,VALUE(SUBSTITUTE(SUBSTITUTE(Seguimiento!$AD$24,"%",""),",","."))*100,VALUE(SUBSTITUTE(SUBSTITUTE(Seguimiento!$AD$24,"%",""),",","."))),"")))</f>
        <v/>
      </c>
      <c r="F261" s="15">
        <f>IF(Seguimiento!$AD$24="","",Seguimiento!$AE$24&amp;"")</f>
        <v/>
      </c>
    </row>
    <row r="262">
      <c r="A262" s="15">
        <f>IF(Seguimiento!$A$24="","",Seguimiento!$A$24)</f>
        <v/>
      </c>
      <c r="B262" s="15">
        <f>IF(Seguimiento!$A$24="","",Seguimiento!$B$24)</f>
        <v/>
      </c>
      <c r="C262" s="15">
        <f>IF(Seguimiento!$A$24="","",Seguimiento!$C$24&amp;"")</f>
        <v/>
      </c>
      <c r="D262" s="16" t="n">
        <v>46353</v>
      </c>
      <c r="E262" s="15">
        <f>IF(Seguimiento!$AF$24="","",IF(ISNUMBER(Seguimiento!$AF$24),IF(Seguimiento!$AF$24&lt;=1,Seguimiento!$AF$24*100,Seguimiento!$AF$24),IFERROR(IF(VALUE(SUBSTITUTE(SUBSTITUTE(Seguimiento!$AF$24,"%",""),",","."))&lt;=1,VALUE(SUBSTITUTE(SUBSTITUTE(Seguimiento!$AF$24,"%",""),",","."))*100,VALUE(SUBSTITUTE(SUBSTITUTE(Seguimiento!$AF$24,"%",""),",","."))),"")))</f>
        <v/>
      </c>
      <c r="F262" s="15">
        <f>IF(Seguimiento!$AF$24="","",Seguimiento!$AG$24&amp;"")</f>
        <v/>
      </c>
    </row>
    <row r="263">
      <c r="A263" s="15">
        <f>IF(Seguimiento!$A$24="","",Seguimiento!$A$24)</f>
        <v/>
      </c>
      <c r="B263" s="15">
        <f>IF(Seguimiento!$A$24="","",Seguimiento!$B$24)</f>
        <v/>
      </c>
      <c r="C263" s="15">
        <f>IF(Seguimiento!$A$24="","",Seguimiento!$C$24&amp;"")</f>
        <v/>
      </c>
      <c r="D263" s="16" t="n">
        <v>46360</v>
      </c>
      <c r="E263" s="15">
        <f>IF(Seguimiento!$AH$24="","",IF(ISNUMBER(Seguimiento!$AH$24),IF(Seguimiento!$AH$24&lt;=1,Seguimiento!$AH$24*100,Seguimiento!$AH$24),IFERROR(IF(VALUE(SUBSTITUTE(SUBSTITUTE(Seguimiento!$AH$24,"%",""),",","."))&lt;=1,VALUE(SUBSTITUTE(SUBSTITUTE(Seguimiento!$AH$24,"%",""),",","."))*100,VALUE(SUBSTITUTE(SUBSTITUTE(Seguimiento!$AH$24,"%",""),",","."))),"")))</f>
        <v/>
      </c>
      <c r="F263" s="15">
        <f>IF(Seguimiento!$AH$24="","",Seguimiento!$AI$24&amp;"")</f>
        <v/>
      </c>
    </row>
    <row r="264">
      <c r="A264" s="15">
        <f>IF(Seguimiento!$A$24="","",Seguimiento!$A$24)</f>
        <v/>
      </c>
      <c r="B264" s="15">
        <f>IF(Seguimiento!$A$24="","",Seguimiento!$B$24)</f>
        <v/>
      </c>
      <c r="C264" s="15">
        <f>IF(Seguimiento!$A$24="","",Seguimiento!$C$24&amp;"")</f>
        <v/>
      </c>
      <c r="D264" s="16" t="n">
        <v>46367</v>
      </c>
      <c r="E264" s="15">
        <f>IF(Seguimiento!$AJ$24="","",IF(ISNUMBER(Seguimiento!$AJ$24),IF(Seguimiento!$AJ$24&lt;=1,Seguimiento!$AJ$24*100,Seguimiento!$AJ$24),IFERROR(IF(VALUE(SUBSTITUTE(SUBSTITUTE(Seguimiento!$AJ$24,"%",""),",","."))&lt;=1,VALUE(SUBSTITUTE(SUBSTITUTE(Seguimiento!$AJ$24,"%",""),",","."))*100,VALUE(SUBSTITUTE(SUBSTITUTE(Seguimiento!$AJ$24,"%",""),",","."))),"")))</f>
        <v/>
      </c>
      <c r="F264" s="15">
        <f>IF(Seguimiento!$AJ$24="","",Seguimiento!$AK$24&amp;"")</f>
        <v/>
      </c>
    </row>
    <row r="265">
      <c r="A265" s="15">
        <f>IF(Seguimiento!$A$24="","",Seguimiento!$A$24)</f>
        <v/>
      </c>
      <c r="B265" s="15">
        <f>IF(Seguimiento!$A$24="","",Seguimiento!$B$24)</f>
        <v/>
      </c>
      <c r="C265" s="15">
        <f>IF(Seguimiento!$A$24="","",Seguimiento!$C$24&amp;"")</f>
        <v/>
      </c>
      <c r="D265" s="16" t="n">
        <v>46374</v>
      </c>
      <c r="E265" s="15">
        <f>IF(Seguimiento!$AL$24="","",IF(ISNUMBER(Seguimiento!$AL$24),IF(Seguimiento!$AL$24&lt;=1,Seguimiento!$AL$24*100,Seguimiento!$AL$24),IFERROR(IF(VALUE(SUBSTITUTE(SUBSTITUTE(Seguimiento!$AL$24,"%",""),",","."))&lt;=1,VALUE(SUBSTITUTE(SUBSTITUTE(Seguimiento!$AL$24,"%",""),",","."))*100,VALUE(SUBSTITUTE(SUBSTITUTE(Seguimiento!$AL$24,"%",""),",","."))),"")))</f>
        <v/>
      </c>
      <c r="F265" s="15">
        <f>IF(Seguimiento!$AL$24="","",Seguimiento!$AM$24&amp;"")</f>
        <v/>
      </c>
    </row>
    <row r="266">
      <c r="A266" s="15">
        <f>IF(Seguimiento!$A$25="","",Seguimiento!$A$25)</f>
        <v/>
      </c>
      <c r="B266" s="15">
        <f>IF(Seguimiento!$A$25="","",Seguimiento!$B$25)</f>
        <v/>
      </c>
      <c r="C266" s="15">
        <f>IF(Seguimiento!$A$25="","",Seguimiento!$C$25&amp;"")</f>
        <v/>
      </c>
      <c r="D266" s="16" t="n">
        <v>46297</v>
      </c>
      <c r="E266" s="15">
        <f>IF(Seguimiento!$Q$25="","",IF(ISNUMBER(Seguimiento!$Q$25),IF(Seguimiento!$Q$25&lt;=1,Seguimiento!$Q$25*100,Seguimiento!$Q$25),IFERROR(IF(VALUE(SUBSTITUTE(SUBSTITUTE(Seguimiento!$Q$25,"%",""),",","."))&lt;=1,VALUE(SUBSTITUTE(SUBSTITUTE(Seguimiento!$Q$25,"%",""),",","."))*100,VALUE(SUBSTITUTE(SUBSTITUTE(Seguimiento!$Q$25,"%",""),",","."))),"")))</f>
        <v/>
      </c>
      <c r="F266" s="15">
        <f>IF(Seguimiento!$Q$25="","","Avance inicial (matriz MINAM)")</f>
        <v/>
      </c>
    </row>
    <row r="267">
      <c r="A267" s="15">
        <f>IF(Seguimiento!$A$25="","",Seguimiento!$A$25)</f>
        <v/>
      </c>
      <c r="B267" s="15">
        <f>IF(Seguimiento!$A$25="","",Seguimiento!$B$25)</f>
        <v/>
      </c>
      <c r="C267" s="15">
        <f>IF(Seguimiento!$A$25="","",Seguimiento!$C$25&amp;"")</f>
        <v/>
      </c>
      <c r="D267" s="16" t="n">
        <v>46304</v>
      </c>
      <c r="E267" s="15">
        <f>IF(Seguimiento!$R$25="","",IF(ISNUMBER(Seguimiento!$R$25),IF(Seguimiento!$R$25&lt;=1,Seguimiento!$R$25*100,Seguimiento!$R$25),IFERROR(IF(VALUE(SUBSTITUTE(SUBSTITUTE(Seguimiento!$R$25,"%",""),",","."))&lt;=1,VALUE(SUBSTITUTE(SUBSTITUTE(Seguimiento!$R$25,"%",""),",","."))*100,VALUE(SUBSTITUTE(SUBSTITUTE(Seguimiento!$R$25,"%",""),",","."))),"")))</f>
        <v/>
      </c>
      <c r="F267" s="15">
        <f>IF(Seguimiento!$R$25="","",Seguimiento!$S$25&amp;"")</f>
        <v/>
      </c>
    </row>
    <row r="268">
      <c r="A268" s="15">
        <f>IF(Seguimiento!$A$25="","",Seguimiento!$A$25)</f>
        <v/>
      </c>
      <c r="B268" s="15">
        <f>IF(Seguimiento!$A$25="","",Seguimiento!$B$25)</f>
        <v/>
      </c>
      <c r="C268" s="15">
        <f>IF(Seguimiento!$A$25="","",Seguimiento!$C$25&amp;"")</f>
        <v/>
      </c>
      <c r="D268" s="16" t="n">
        <v>46311</v>
      </c>
      <c r="E268" s="15">
        <f>IF(Seguimiento!$T$25="","",IF(ISNUMBER(Seguimiento!$T$25),IF(Seguimiento!$T$25&lt;=1,Seguimiento!$T$25*100,Seguimiento!$T$25),IFERROR(IF(VALUE(SUBSTITUTE(SUBSTITUTE(Seguimiento!$T$25,"%",""),",","."))&lt;=1,VALUE(SUBSTITUTE(SUBSTITUTE(Seguimiento!$T$25,"%",""),",","."))*100,VALUE(SUBSTITUTE(SUBSTITUTE(Seguimiento!$T$25,"%",""),",","."))),"")))</f>
        <v/>
      </c>
      <c r="F268" s="15">
        <f>IF(Seguimiento!$T$25="","",Seguimiento!$U$25&amp;"")</f>
        <v/>
      </c>
    </row>
    <row r="269">
      <c r="A269" s="15">
        <f>IF(Seguimiento!$A$25="","",Seguimiento!$A$25)</f>
        <v/>
      </c>
      <c r="B269" s="15">
        <f>IF(Seguimiento!$A$25="","",Seguimiento!$B$25)</f>
        <v/>
      </c>
      <c r="C269" s="15">
        <f>IF(Seguimiento!$A$25="","",Seguimiento!$C$25&amp;"")</f>
        <v/>
      </c>
      <c r="D269" s="16" t="n">
        <v>46318</v>
      </c>
      <c r="E269" s="15">
        <f>IF(Seguimiento!$V$25="","",IF(ISNUMBER(Seguimiento!$V$25),IF(Seguimiento!$V$25&lt;=1,Seguimiento!$V$25*100,Seguimiento!$V$25),IFERROR(IF(VALUE(SUBSTITUTE(SUBSTITUTE(Seguimiento!$V$25,"%",""),",","."))&lt;=1,VALUE(SUBSTITUTE(SUBSTITUTE(Seguimiento!$V$25,"%",""),",","."))*100,VALUE(SUBSTITUTE(SUBSTITUTE(Seguimiento!$V$25,"%",""),",","."))),"")))</f>
        <v/>
      </c>
      <c r="F269" s="15">
        <f>IF(Seguimiento!$V$25="","",Seguimiento!$W$25&amp;"")</f>
        <v/>
      </c>
    </row>
    <row r="270">
      <c r="A270" s="15">
        <f>IF(Seguimiento!$A$25="","",Seguimiento!$A$25)</f>
        <v/>
      </c>
      <c r="B270" s="15">
        <f>IF(Seguimiento!$A$25="","",Seguimiento!$B$25)</f>
        <v/>
      </c>
      <c r="C270" s="15">
        <f>IF(Seguimiento!$A$25="","",Seguimiento!$C$25&amp;"")</f>
        <v/>
      </c>
      <c r="D270" s="16" t="n">
        <v>46325</v>
      </c>
      <c r="E270" s="15">
        <f>IF(Seguimiento!$X$25="","",IF(ISNUMBER(Seguimiento!$X$25),IF(Seguimiento!$X$25&lt;=1,Seguimiento!$X$25*100,Seguimiento!$X$25),IFERROR(IF(VALUE(SUBSTITUTE(SUBSTITUTE(Seguimiento!$X$25,"%",""),",","."))&lt;=1,VALUE(SUBSTITUTE(SUBSTITUTE(Seguimiento!$X$25,"%",""),",","."))*100,VALUE(SUBSTITUTE(SUBSTITUTE(Seguimiento!$X$25,"%",""),",","."))),"")))</f>
        <v/>
      </c>
      <c r="F270" s="15">
        <f>IF(Seguimiento!$X$25="","",Seguimiento!$Y$25&amp;"")</f>
        <v/>
      </c>
    </row>
    <row r="271">
      <c r="A271" s="15">
        <f>IF(Seguimiento!$A$25="","",Seguimiento!$A$25)</f>
        <v/>
      </c>
      <c r="B271" s="15">
        <f>IF(Seguimiento!$A$25="","",Seguimiento!$B$25)</f>
        <v/>
      </c>
      <c r="C271" s="15">
        <f>IF(Seguimiento!$A$25="","",Seguimiento!$C$25&amp;"")</f>
        <v/>
      </c>
      <c r="D271" s="16" t="n">
        <v>46332</v>
      </c>
      <c r="E271" s="15">
        <f>IF(Seguimiento!$Z$25="","",IF(ISNUMBER(Seguimiento!$Z$25),IF(Seguimiento!$Z$25&lt;=1,Seguimiento!$Z$25*100,Seguimiento!$Z$25),IFERROR(IF(VALUE(SUBSTITUTE(SUBSTITUTE(Seguimiento!$Z$25,"%",""),",","."))&lt;=1,VALUE(SUBSTITUTE(SUBSTITUTE(Seguimiento!$Z$25,"%",""),",","."))*100,VALUE(SUBSTITUTE(SUBSTITUTE(Seguimiento!$Z$25,"%",""),",","."))),"")))</f>
        <v/>
      </c>
      <c r="F271" s="15">
        <f>IF(Seguimiento!$Z$25="","",Seguimiento!$AA$25&amp;"")</f>
        <v/>
      </c>
    </row>
    <row r="272">
      <c r="A272" s="15">
        <f>IF(Seguimiento!$A$25="","",Seguimiento!$A$25)</f>
        <v/>
      </c>
      <c r="B272" s="15">
        <f>IF(Seguimiento!$A$25="","",Seguimiento!$B$25)</f>
        <v/>
      </c>
      <c r="C272" s="15">
        <f>IF(Seguimiento!$A$25="","",Seguimiento!$C$25&amp;"")</f>
        <v/>
      </c>
      <c r="D272" s="16" t="n">
        <v>46339</v>
      </c>
      <c r="E272" s="15">
        <f>IF(Seguimiento!$AB$25="","",IF(ISNUMBER(Seguimiento!$AB$25),IF(Seguimiento!$AB$25&lt;=1,Seguimiento!$AB$25*100,Seguimiento!$AB$25),IFERROR(IF(VALUE(SUBSTITUTE(SUBSTITUTE(Seguimiento!$AB$25,"%",""),",","."))&lt;=1,VALUE(SUBSTITUTE(SUBSTITUTE(Seguimiento!$AB$25,"%",""),",","."))*100,VALUE(SUBSTITUTE(SUBSTITUTE(Seguimiento!$AB$25,"%",""),",","."))),"")))</f>
        <v/>
      </c>
      <c r="F272" s="15">
        <f>IF(Seguimiento!$AB$25="","",Seguimiento!$AC$25&amp;"")</f>
        <v/>
      </c>
    </row>
    <row r="273">
      <c r="A273" s="15">
        <f>IF(Seguimiento!$A$25="","",Seguimiento!$A$25)</f>
        <v/>
      </c>
      <c r="B273" s="15">
        <f>IF(Seguimiento!$A$25="","",Seguimiento!$B$25)</f>
        <v/>
      </c>
      <c r="C273" s="15">
        <f>IF(Seguimiento!$A$25="","",Seguimiento!$C$25&amp;"")</f>
        <v/>
      </c>
      <c r="D273" s="16" t="n">
        <v>46346</v>
      </c>
      <c r="E273" s="15">
        <f>IF(Seguimiento!$AD$25="","",IF(ISNUMBER(Seguimiento!$AD$25),IF(Seguimiento!$AD$25&lt;=1,Seguimiento!$AD$25*100,Seguimiento!$AD$25),IFERROR(IF(VALUE(SUBSTITUTE(SUBSTITUTE(Seguimiento!$AD$25,"%",""),",","."))&lt;=1,VALUE(SUBSTITUTE(SUBSTITUTE(Seguimiento!$AD$25,"%",""),",","."))*100,VALUE(SUBSTITUTE(SUBSTITUTE(Seguimiento!$AD$25,"%",""),",","."))),"")))</f>
        <v/>
      </c>
      <c r="F273" s="15">
        <f>IF(Seguimiento!$AD$25="","",Seguimiento!$AE$25&amp;"")</f>
        <v/>
      </c>
    </row>
    <row r="274">
      <c r="A274" s="15">
        <f>IF(Seguimiento!$A$25="","",Seguimiento!$A$25)</f>
        <v/>
      </c>
      <c r="B274" s="15">
        <f>IF(Seguimiento!$A$25="","",Seguimiento!$B$25)</f>
        <v/>
      </c>
      <c r="C274" s="15">
        <f>IF(Seguimiento!$A$25="","",Seguimiento!$C$25&amp;"")</f>
        <v/>
      </c>
      <c r="D274" s="16" t="n">
        <v>46353</v>
      </c>
      <c r="E274" s="15">
        <f>IF(Seguimiento!$AF$25="","",IF(ISNUMBER(Seguimiento!$AF$25),IF(Seguimiento!$AF$25&lt;=1,Seguimiento!$AF$25*100,Seguimiento!$AF$25),IFERROR(IF(VALUE(SUBSTITUTE(SUBSTITUTE(Seguimiento!$AF$25,"%",""),",","."))&lt;=1,VALUE(SUBSTITUTE(SUBSTITUTE(Seguimiento!$AF$25,"%",""),",","."))*100,VALUE(SUBSTITUTE(SUBSTITUTE(Seguimiento!$AF$25,"%",""),",","."))),"")))</f>
        <v/>
      </c>
      <c r="F274" s="15">
        <f>IF(Seguimiento!$AF$25="","",Seguimiento!$AG$25&amp;"")</f>
        <v/>
      </c>
    </row>
    <row r="275">
      <c r="A275" s="15">
        <f>IF(Seguimiento!$A$25="","",Seguimiento!$A$25)</f>
        <v/>
      </c>
      <c r="B275" s="15">
        <f>IF(Seguimiento!$A$25="","",Seguimiento!$B$25)</f>
        <v/>
      </c>
      <c r="C275" s="15">
        <f>IF(Seguimiento!$A$25="","",Seguimiento!$C$25&amp;"")</f>
        <v/>
      </c>
      <c r="D275" s="16" t="n">
        <v>46360</v>
      </c>
      <c r="E275" s="15">
        <f>IF(Seguimiento!$AH$25="","",IF(ISNUMBER(Seguimiento!$AH$25),IF(Seguimiento!$AH$25&lt;=1,Seguimiento!$AH$25*100,Seguimiento!$AH$25),IFERROR(IF(VALUE(SUBSTITUTE(SUBSTITUTE(Seguimiento!$AH$25,"%",""),",","."))&lt;=1,VALUE(SUBSTITUTE(SUBSTITUTE(Seguimiento!$AH$25,"%",""),",","."))*100,VALUE(SUBSTITUTE(SUBSTITUTE(Seguimiento!$AH$25,"%",""),",","."))),"")))</f>
        <v/>
      </c>
      <c r="F275" s="15">
        <f>IF(Seguimiento!$AH$25="","",Seguimiento!$AI$25&amp;"")</f>
        <v/>
      </c>
    </row>
    <row r="276">
      <c r="A276" s="15">
        <f>IF(Seguimiento!$A$25="","",Seguimiento!$A$25)</f>
        <v/>
      </c>
      <c r="B276" s="15">
        <f>IF(Seguimiento!$A$25="","",Seguimiento!$B$25)</f>
        <v/>
      </c>
      <c r="C276" s="15">
        <f>IF(Seguimiento!$A$25="","",Seguimiento!$C$25&amp;"")</f>
        <v/>
      </c>
      <c r="D276" s="16" t="n">
        <v>46367</v>
      </c>
      <c r="E276" s="15">
        <f>IF(Seguimiento!$AJ$25="","",IF(ISNUMBER(Seguimiento!$AJ$25),IF(Seguimiento!$AJ$25&lt;=1,Seguimiento!$AJ$25*100,Seguimiento!$AJ$25),IFERROR(IF(VALUE(SUBSTITUTE(SUBSTITUTE(Seguimiento!$AJ$25,"%",""),",","."))&lt;=1,VALUE(SUBSTITUTE(SUBSTITUTE(Seguimiento!$AJ$25,"%",""),",","."))*100,VALUE(SUBSTITUTE(SUBSTITUTE(Seguimiento!$AJ$25,"%",""),",","."))),"")))</f>
        <v/>
      </c>
      <c r="F276" s="15">
        <f>IF(Seguimiento!$AJ$25="","",Seguimiento!$AK$25&amp;"")</f>
        <v/>
      </c>
    </row>
    <row r="277">
      <c r="A277" s="15">
        <f>IF(Seguimiento!$A$25="","",Seguimiento!$A$25)</f>
        <v/>
      </c>
      <c r="B277" s="15">
        <f>IF(Seguimiento!$A$25="","",Seguimiento!$B$25)</f>
        <v/>
      </c>
      <c r="C277" s="15">
        <f>IF(Seguimiento!$A$25="","",Seguimiento!$C$25&amp;"")</f>
        <v/>
      </c>
      <c r="D277" s="16" t="n">
        <v>46374</v>
      </c>
      <c r="E277" s="15">
        <f>IF(Seguimiento!$AL$25="","",IF(ISNUMBER(Seguimiento!$AL$25),IF(Seguimiento!$AL$25&lt;=1,Seguimiento!$AL$25*100,Seguimiento!$AL$25),IFERROR(IF(VALUE(SUBSTITUTE(SUBSTITUTE(Seguimiento!$AL$25,"%",""),",","."))&lt;=1,VALUE(SUBSTITUTE(SUBSTITUTE(Seguimiento!$AL$25,"%",""),",","."))*100,VALUE(SUBSTITUTE(SUBSTITUTE(Seguimiento!$AL$25,"%",""),",","."))),"")))</f>
        <v/>
      </c>
      <c r="F277" s="15">
        <f>IF(Seguimiento!$AL$25="","",Seguimiento!$AM$25&amp;"")</f>
        <v/>
      </c>
    </row>
  </sheetData>
  <autoFilter ref="A1:F27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0"/>
  <sheetViews>
    <sheetView showGridLines="0" workbookViewId="0">
      <selection activeCell="A1" sqref="A1"/>
    </sheetView>
  </sheetViews>
  <sheetFormatPr baseColWidth="8" defaultRowHeight="15"/>
  <cols>
    <col width="34" customWidth="1" min="1" max="1"/>
    <col width="16" customWidth="1" min="2" max="2"/>
  </cols>
  <sheetData>
    <row r="1">
      <c r="A1" s="17" t="inlineStr">
        <is>
          <t>Seguimiento Prioridades 100 días · SENAMHI</t>
        </is>
      </c>
    </row>
    <row r="2">
      <c r="A2" s="18">
        <f>"Día "&amp;(TODAY()-Config!$B$2+1)&amp;" de 100 · faltan "&amp;(Config!$B$3-TODAY())&amp;" días · corte "&amp;TEXT(Config!$B$4,"dd/mm/yyyy")</f>
        <v/>
      </c>
    </row>
    <row r="4" ht="22" customHeight="1">
      <c r="A4" s="7" t="inlineStr">
        <is>
          <t>Indicador</t>
        </is>
      </c>
      <c r="B4" s="7" t="inlineStr">
        <is>
          <t>Valor</t>
        </is>
      </c>
    </row>
    <row r="5">
      <c r="A5" s="19" t="inlineStr">
        <is>
          <t>Actividades</t>
        </is>
      </c>
      <c r="B5" s="20">
        <f>COUNTIF(Calculos!A2:A24,"?*")</f>
        <v/>
      </c>
    </row>
    <row r="6">
      <c r="A6" s="19" t="inlineStr">
        <is>
          <t>Avance promedio (%)</t>
        </is>
      </c>
      <c r="B6" s="20">
        <f>IFERROR(ROUND(AVERAGE(Calculos!R2:R24),1),"")</f>
        <v/>
      </c>
    </row>
    <row r="7">
      <c r="A7" s="19" t="inlineStr">
        <is>
          <t>Completadas (100 %)</t>
        </is>
      </c>
      <c r="B7" s="20">
        <f>COUNTIF(Calculos!V2:V24,"Completada")</f>
        <v/>
      </c>
    </row>
    <row r="8">
      <c r="A8" s="19" t="inlineStr">
        <is>
          <t>Con fecha límite vencida</t>
        </is>
      </c>
      <c r="B8" s="20">
        <f>COUNTIF(Calculos!V2:V24,"Fecha límite vencida")</f>
        <v/>
      </c>
    </row>
    <row r="9">
      <c r="A9" s="19" t="inlineStr">
        <is>
          <t>Estado: Sin iniciar</t>
        </is>
      </c>
      <c r="B9" s="20">
        <f>COUNTIF(Calculos!K2:K24,"Sin iniciar")</f>
        <v/>
      </c>
    </row>
    <row r="10">
      <c r="A10" s="19" t="inlineStr">
        <is>
          <t>Estado: En proceso</t>
        </is>
      </c>
      <c r="B10" s="20">
        <f>COUNTIF(Calculos!K2:K24,"En proceso")</f>
        <v/>
      </c>
    </row>
    <row r="11">
      <c r="A11" s="19" t="inlineStr">
        <is>
          <t>Estado: Con riesgo / retraso</t>
        </is>
      </c>
      <c r="B11" s="20">
        <f>COUNTIF(Calculos!K2:K24,"Con riesgo / retraso")</f>
        <v/>
      </c>
    </row>
    <row r="12">
      <c r="A12" s="19" t="inlineStr">
        <is>
          <t>Estado: Completado</t>
        </is>
      </c>
      <c r="B12" s="20">
        <f>COUNTIF(Calculos!K2:K24,"Completado")</f>
        <v/>
      </c>
    </row>
    <row r="13">
      <c r="A13" s="19" t="inlineStr">
        <is>
          <t>Estado: Reprogramado</t>
        </is>
      </c>
      <c r="B13" s="20">
        <f>COUNTIF(Calculos!K2:K24,"Reprogramado")</f>
        <v/>
      </c>
    </row>
    <row r="14">
      <c r="A14" s="19" t="inlineStr">
        <is>
          <t>Prioridad Alta (MINAM)</t>
        </is>
      </c>
      <c r="B14" s="20">
        <f>COUNTIF(Calculos!I2:I24,"Alta")</f>
        <v/>
      </c>
    </row>
    <row r="15">
      <c r="A15" s="19" t="inlineStr">
        <is>
          <t>Relacionadas con El Niño</t>
        </is>
      </c>
      <c r="B15" s="20">
        <f>COUNTIF(Calculos!J2:J24,"Sí")</f>
        <v/>
      </c>
    </row>
    <row r="16">
      <c r="A16" s="19" t="inlineStr">
        <is>
          <t>Reportaron esta semana</t>
        </is>
      </c>
      <c r="B16" s="20">
        <f>COUNTIF(Calculos!W2:W24,"Sí")</f>
        <v/>
      </c>
    </row>
    <row r="17">
      <c r="A17" s="19" t="inlineStr">
        <is>
          <t>Reportaron / total</t>
        </is>
      </c>
      <c r="B17" s="20">
        <f>COUNTIF(Calculos!W2:W24,"Sí")&amp;" / "&amp;COUNTIF(Calculos!A2:A24,"?*")</f>
        <v/>
      </c>
    </row>
    <row r="18">
      <c r="A18" s="19" t="inlineStr">
        <is>
          <t>Día de gestión</t>
        </is>
      </c>
      <c r="B18" s="20">
        <f>TODAY()-Config!$B$2+1</f>
        <v/>
      </c>
    </row>
    <row r="19">
      <c r="A19" s="19" t="inlineStr">
        <is>
          <t>Días al día 100</t>
        </is>
      </c>
      <c r="B19" s="20">
        <f>Config!$B$3-TODAY()</f>
        <v/>
      </c>
    </row>
    <row r="20">
      <c r="A20" s="19" t="inlineStr">
        <is>
          <t>Próximo corte</t>
        </is>
      </c>
      <c r="B20" s="21">
        <f>Config!$B$4</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3"/>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6" customWidth="1" min="3" max="3"/>
    <col width="40" customWidth="1" min="4" max="4"/>
    <col width="36" customWidth="1" min="5" max="5"/>
  </cols>
  <sheetData>
    <row r="1" ht="30" customHeight="1">
      <c r="A1" s="7" t="inlineStr">
        <is>
          <t>Fecha</t>
        </is>
      </c>
      <c r="B1" s="7" t="inlineStr">
        <is>
          <t>Evento / lugar</t>
        </is>
      </c>
      <c r="C1" s="7" t="inlineStr">
        <is>
          <t>Realizado (Sí/No)</t>
        </is>
      </c>
      <c r="D1" s="7" t="inlineStr">
        <is>
          <t>Observación</t>
        </is>
      </c>
      <c r="E1" s="7" t="inlineStr">
        <is>
          <t>Link evidencia</t>
        </is>
      </c>
    </row>
    <row r="2">
      <c r="A2" s="16" t="n">
        <v>46260</v>
      </c>
      <c r="B2" s="15" t="inlineStr">
        <is>
          <t>Piura</t>
        </is>
      </c>
      <c r="C2" s="22" t="n"/>
      <c r="D2" s="15" t="n"/>
      <c r="E2" s="15" t="n"/>
    </row>
    <row r="3">
      <c r="A3" s="16" t="n">
        <v>46261</v>
      </c>
      <c r="B3" s="15" t="inlineStr">
        <is>
          <t>Piura</t>
        </is>
      </c>
      <c r="C3" s="22" t="n"/>
      <c r="D3" s="15" t="n"/>
      <c r="E3" s="15" t="n"/>
    </row>
    <row r="4">
      <c r="A4" s="16" t="n">
        <v>46267</v>
      </c>
      <c r="B4" s="15" t="inlineStr">
        <is>
          <t>Loreto</t>
        </is>
      </c>
      <c r="C4" s="22" t="n"/>
      <c r="D4" s="15" t="n"/>
      <c r="E4" s="15" t="n"/>
    </row>
    <row r="5">
      <c r="A5" s="16" t="n">
        <v>46267</v>
      </c>
      <c r="B5" s="15" t="inlineStr">
        <is>
          <t>Ucayali</t>
        </is>
      </c>
      <c r="C5" s="22" t="n"/>
      <c r="D5" s="15" t="n"/>
      <c r="E5" s="15" t="n"/>
    </row>
    <row r="6">
      <c r="A6" s="16" t="n">
        <v>46268</v>
      </c>
      <c r="B6" s="15" t="inlineStr">
        <is>
          <t>Loreto</t>
        </is>
      </c>
      <c r="C6" s="22" t="n"/>
      <c r="D6" s="15" t="n"/>
      <c r="E6" s="15" t="n"/>
    </row>
    <row r="7">
      <c r="A7" s="16" t="n">
        <v>46268</v>
      </c>
      <c r="B7" s="15" t="inlineStr">
        <is>
          <t>Ucayali</t>
        </is>
      </c>
      <c r="C7" s="22" t="n"/>
      <c r="D7" s="15" t="n"/>
      <c r="E7" s="15" t="n"/>
    </row>
    <row r="8">
      <c r="A8" s="16" t="n">
        <v>46269</v>
      </c>
      <c r="B8" s="15" t="inlineStr">
        <is>
          <t>Loreto</t>
        </is>
      </c>
      <c r="C8" s="22" t="n"/>
      <c r="D8" s="15" t="n"/>
      <c r="E8" s="15" t="n"/>
    </row>
    <row r="9">
      <c r="A9" s="16" t="n">
        <v>46269</v>
      </c>
      <c r="B9" s="15" t="inlineStr">
        <is>
          <t>Ucayali</t>
        </is>
      </c>
      <c r="C9" s="22" t="n"/>
      <c r="D9" s="15" t="n"/>
      <c r="E9" s="15" t="n"/>
    </row>
    <row r="10">
      <c r="A10" s="16" t="n">
        <v>46275</v>
      </c>
      <c r="B10" s="15" t="inlineStr">
        <is>
          <t>IMARPE /ENFEN</t>
        </is>
      </c>
      <c r="C10" s="22" t="n"/>
      <c r="D10" s="15" t="n"/>
      <c r="E10" s="15" t="n"/>
    </row>
    <row r="11">
      <c r="A11" s="16" t="n">
        <v>46276</v>
      </c>
      <c r="B11" s="15" t="inlineStr">
        <is>
          <t>Comité Tecnico Presencial</t>
        </is>
      </c>
      <c r="C11" s="22" t="n"/>
      <c r="D11" s="15" t="n"/>
      <c r="E11" s="15" t="n"/>
    </row>
    <row r="12">
      <c r="A12" s="16" t="n">
        <v>46279</v>
      </c>
      <c r="B12" s="15" t="inlineStr">
        <is>
          <t>Chiclayo</t>
        </is>
      </c>
      <c r="C12" s="22" t="n"/>
      <c r="D12" s="15" t="n"/>
      <c r="E12" s="15" t="n"/>
    </row>
    <row r="13">
      <c r="A13" s="16" t="n">
        <v>46280</v>
      </c>
      <c r="B13" s="15" t="inlineStr">
        <is>
          <t>Taller Chiclayo</t>
        </is>
      </c>
      <c r="C13" s="22" t="n"/>
      <c r="D13" s="15" t="n"/>
      <c r="E13" s="15" t="n"/>
    </row>
    <row r="14">
      <c r="A14" s="16" t="n">
        <v>46283</v>
      </c>
      <c r="B14" s="15" t="inlineStr">
        <is>
          <t>Interclima Cusco</t>
        </is>
      </c>
      <c r="C14" s="22" t="n"/>
      <c r="D14" s="15" t="n"/>
      <c r="E14" s="15" t="n"/>
    </row>
    <row r="15">
      <c r="A15" s="16" t="n">
        <v>46287</v>
      </c>
      <c r="B15" s="15" t="inlineStr">
        <is>
          <t>Tumbes</t>
        </is>
      </c>
      <c r="C15" s="22" t="n"/>
      <c r="D15" s="15" t="n"/>
      <c r="E15" s="15" t="n"/>
    </row>
    <row r="16">
      <c r="A16" s="16" t="n">
        <v>46288</v>
      </c>
      <c r="B16" s="15" t="inlineStr">
        <is>
          <t>Tumbes</t>
        </is>
      </c>
      <c r="C16" s="22" t="n"/>
      <c r="D16" s="15" t="n"/>
      <c r="E16" s="15" t="n"/>
    </row>
    <row r="17">
      <c r="A17" s="16" t="n">
        <v>46293</v>
      </c>
      <c r="B17" s="15" t="inlineStr">
        <is>
          <t>Diplomacia Cientifica</t>
        </is>
      </c>
      <c r="C17" s="22" t="n"/>
      <c r="D17" s="15" t="n"/>
      <c r="E17" s="15" t="n"/>
    </row>
    <row r="18">
      <c r="A18" s="16" t="n">
        <v>46294</v>
      </c>
      <c r="B18" s="15" t="inlineStr">
        <is>
          <t>Diplomacia Cientifica</t>
        </is>
      </c>
      <c r="C18" s="22" t="n"/>
      <c r="D18" s="15" t="n"/>
      <c r="E18" s="15" t="n"/>
    </row>
    <row r="19">
      <c r="A19" s="16" t="n">
        <v>46295</v>
      </c>
      <c r="B19" s="15" t="inlineStr">
        <is>
          <t>Diplomacia Cientifica</t>
        </is>
      </c>
      <c r="C19" s="22" t="n"/>
      <c r="D19" s="15" t="n"/>
      <c r="E19" s="15" t="n"/>
    </row>
    <row r="20">
      <c r="A20" s="16" t="n">
        <v>46311</v>
      </c>
      <c r="B20" s="15" t="inlineStr">
        <is>
          <t>Seminario El Niño</t>
        </is>
      </c>
      <c r="C20" s="22" t="n"/>
      <c r="D20" s="15" t="n"/>
      <c r="E20" s="15" t="n"/>
    </row>
    <row r="21">
      <c r="A21" s="16" t="n">
        <v>46321</v>
      </c>
      <c r="B21" s="15" t="inlineStr">
        <is>
          <t>NCOF Ica</t>
        </is>
      </c>
      <c r="C21" s="22" t="n"/>
      <c r="D21" s="15" t="n"/>
      <c r="E21" s="15" t="n"/>
    </row>
    <row r="22">
      <c r="A22" s="16" t="n">
        <v>46322</v>
      </c>
      <c r="B22" s="15" t="inlineStr">
        <is>
          <t>NCOF Ica</t>
        </is>
      </c>
      <c r="C22" s="22" t="n"/>
      <c r="D22" s="15" t="n"/>
      <c r="E22" s="15" t="n"/>
    </row>
    <row r="23">
      <c r="A23" s="16" t="n">
        <v>46325</v>
      </c>
      <c r="B23" s="15" t="inlineStr">
        <is>
          <t>Cierre De ENANDES (Puno)</t>
        </is>
      </c>
      <c r="C23" s="22" t="n"/>
      <c r="D23" s="15" t="n"/>
      <c r="E23" s="15" t="n"/>
    </row>
    <row r="24">
      <c r="A24" s="23" t="n"/>
      <c r="B24" s="24" t="n"/>
      <c r="C24" s="24" t="n"/>
      <c r="D24" s="24" t="n"/>
      <c r="E24" s="24" t="n"/>
    </row>
    <row r="25">
      <c r="A25" s="23" t="n"/>
      <c r="B25" s="24" t="n"/>
      <c r="C25" s="24" t="n"/>
      <c r="D25" s="24" t="n"/>
      <c r="E25" s="24" t="n"/>
    </row>
    <row r="26">
      <c r="A26" s="23" t="n"/>
      <c r="B26" s="24" t="n"/>
      <c r="C26" s="24" t="n"/>
      <c r="D26" s="24" t="n"/>
      <c r="E26" s="24" t="n"/>
    </row>
    <row r="27">
      <c r="A27" s="23" t="n"/>
      <c r="B27" s="24" t="n"/>
      <c r="C27" s="24" t="n"/>
      <c r="D27" s="24" t="n"/>
      <c r="E27" s="24" t="n"/>
    </row>
    <row r="28">
      <c r="A28" s="23" t="n"/>
      <c r="B28" s="24" t="n"/>
      <c r="C28" s="24" t="n"/>
      <c r="D28" s="24" t="n"/>
      <c r="E28" s="24" t="n"/>
    </row>
    <row r="29">
      <c r="A29" s="23" t="n"/>
      <c r="B29" s="24" t="n"/>
      <c r="C29" s="24" t="n"/>
      <c r="D29" s="24" t="n"/>
      <c r="E29" s="24" t="n"/>
    </row>
    <row r="30">
      <c r="A30" s="23" t="n"/>
      <c r="B30" s="24" t="n"/>
      <c r="C30" s="24" t="n"/>
      <c r="D30" s="24" t="n"/>
      <c r="E30" s="24" t="n"/>
    </row>
    <row r="31">
      <c r="A31" s="23" t="n"/>
      <c r="B31" s="24" t="n"/>
      <c r="C31" s="24" t="n"/>
      <c r="D31" s="24" t="n"/>
      <c r="E31" s="24" t="n"/>
    </row>
    <row r="32">
      <c r="A32" s="23" t="n"/>
      <c r="B32" s="24" t="n"/>
      <c r="C32" s="24" t="n"/>
      <c r="D32" s="24" t="n"/>
      <c r="E32" s="24" t="n"/>
    </row>
    <row r="33">
      <c r="A33" s="23" t="n"/>
      <c r="B33" s="24" t="n"/>
      <c r="C33" s="24" t="n"/>
      <c r="D33" s="24" t="n"/>
      <c r="E33" s="24" t="n"/>
    </row>
  </sheetData>
  <dataValidations count="1">
    <dataValidation sqref="C2:C62" showDropDown="0" showInputMessage="0" showErrorMessage="0" allowBlank="1" type="list">
      <formula1>"Sí,No"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36" customWidth="1" min="1" max="1"/>
    <col width="14" customWidth="1" min="2" max="2"/>
    <col width="28" customWidth="1" min="4" max="4"/>
    <col width="22" customWidth="1" min="6" max="6"/>
    <col width="12" customWidth="1" min="8" max="8"/>
  </cols>
  <sheetData>
    <row r="1" ht="22" customHeight="1">
      <c r="A1" s="7" t="inlineStr">
        <is>
          <t>Parámetro</t>
        </is>
      </c>
      <c r="B1" s="7" t="inlineStr">
        <is>
          <t>Valor</t>
        </is>
      </c>
      <c r="C1" s="7" t="inlineStr"/>
      <c r="D1" s="7" t="inlineStr">
        <is>
          <t>Estado actual (matriz MINAM)</t>
        </is>
      </c>
      <c r="E1" s="7" t="inlineStr"/>
      <c r="F1" s="7" t="inlineStr">
        <is>
          <t>Situación de plazo</t>
        </is>
      </c>
      <c r="G1" s="7" t="inlineStr"/>
      <c r="H1" s="7" t="inlineStr">
        <is>
          <t>Direcciones</t>
        </is>
      </c>
    </row>
    <row r="2">
      <c r="A2" s="19" t="inlineStr">
        <is>
          <t>Inicio del gobierno</t>
        </is>
      </c>
      <c r="B2" s="25" t="n">
        <v>46231</v>
      </c>
      <c r="D2" s="26" t="inlineStr">
        <is>
          <t>Sin iniciar</t>
        </is>
      </c>
      <c r="F2" s="27" t="inlineStr">
        <is>
          <t>Completada</t>
        </is>
      </c>
      <c r="H2" s="19" t="inlineStr">
        <is>
          <t>DMCA</t>
        </is>
      </c>
    </row>
    <row r="3">
      <c r="A3" s="19" t="inlineStr">
        <is>
          <t>Día 100</t>
        </is>
      </c>
      <c r="B3" s="25" t="n">
        <v>46330</v>
      </c>
      <c r="D3" s="28" t="inlineStr">
        <is>
          <t>En proceso</t>
        </is>
      </c>
      <c r="F3" s="29" t="inlineStr">
        <is>
          <t>En plazo</t>
        </is>
      </c>
      <c r="H3" s="19" t="inlineStr">
        <is>
          <t>DHI</t>
        </is>
      </c>
    </row>
    <row r="4">
      <c r="A4" s="19" t="inlineStr">
        <is>
          <t>Próximo corte (viernes)</t>
        </is>
      </c>
      <c r="B4" s="25">
        <f>TODAY()+MOD(6-WEEKDAY(TODAY()),7)</f>
        <v/>
      </c>
      <c r="D4" s="30" t="inlineStr">
        <is>
          <t>Con riesgo / retraso</t>
        </is>
      </c>
      <c r="F4" s="31" t="inlineStr">
        <is>
          <t>Por iniciar</t>
        </is>
      </c>
      <c r="H4" s="19" t="inlineStr">
        <is>
          <t>DSCA</t>
        </is>
      </c>
    </row>
    <row r="5">
      <c r="A5" s="19" t="inlineStr">
        <is>
          <t>Cierre de llenado (jueves 17:00)</t>
        </is>
      </c>
      <c r="B5" s="25">
        <f>B4-1</f>
        <v/>
      </c>
      <c r="D5" s="27" t="inlineStr">
        <is>
          <t>Completado</t>
        </is>
      </c>
      <c r="F5" s="32" t="inlineStr">
        <is>
          <t>Fecha límite vencida</t>
        </is>
      </c>
      <c r="H5" s="19" t="inlineStr">
        <is>
          <t>DRD</t>
        </is>
      </c>
    </row>
    <row r="6">
      <c r="A6" s="19" t="inlineStr">
        <is>
          <t>Primer corte del seguimiento</t>
        </is>
      </c>
      <c r="B6" s="25" t="n">
        <v>46304</v>
      </c>
      <c r="D6" s="33" t="inlineStr">
        <is>
          <t>Reprogramado</t>
        </is>
      </c>
      <c r="F6" s="26" t="inlineStr">
        <is>
          <t>Sin fecha límite</t>
        </is>
      </c>
    </row>
    <row r="7">
      <c r="A7" s="19" t="inlineStr">
        <is>
          <t>Semanas en el libro</t>
        </is>
      </c>
      <c r="B7" s="34" t="n">
        <v>11</v>
      </c>
    </row>
    <row r="10">
      <c r="A10" s="35" t="inlineStr">
        <is>
          <t>Situación de plazo: Completada si el avance llega a 100; Fecha límite vencida si hoy pasó la fecha límite; Por iniciar si hoy es anterior a la fecha de inicio; En plazo en otro caso.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2026-10-07T06:22:21Z</dcterms:created>
  <dcterms:modified xmlns:dcterms="http://purl.org/dc/terms/" xmlns:xsi="http://www.w3.org/2001/XMLSchema-instance" xsi:type="dcterms:W3CDTF">2026-10-07T06:22:21Z</dcterms:modified>
</cp:coreProperties>
</file>